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17B73F8B-7DBB-4555-B4C2-BA7048A5237F}" xr6:coauthVersionLast="47" xr6:coauthVersionMax="47" xr10:uidLastSave="{00000000-0000-0000-0000-000000000000}"/>
  <bookViews>
    <workbookView xWindow="-110" yWindow="-110" windowWidth="19420" windowHeight="10420" activeTab="2" xr2:uid="{D63760C2-7CC9-4124-8FD4-5B3BB7E22727}"/>
  </bookViews>
  <sheets>
    <sheet name="Analysis" sheetId="3" r:id="rId1"/>
    <sheet name="Hypertension_data" sheetId="2" r:id="rId2"/>
    <sheet name="Dashboard" sheetId="1" r:id="rId3"/>
  </sheets>
  <definedNames>
    <definedName name="_xlcn.WorksheetConnection_Hypertension_Data.csv.xlsxHypertension_data1" hidden="1">Hypertension_data[]</definedName>
    <definedName name="ExternalData_1" localSheetId="1" hidden="1">Hypertension_data!$A$1:$P$351</definedName>
    <definedName name="Slicer_Antihypertensive_Class">#N/A</definedName>
    <definedName name="Slicer_BP_Status">#N/A</definedName>
    <definedName name="Slicer_Gender">#N/A</definedName>
    <definedName name="Slicer_Medication_Adherence">#N/A</definedName>
  </definedNames>
  <calcPr calcId="191029"/>
  <pivotCaches>
    <pivotCache cacheId="163" r:id="rId4"/>
    <pivotCache cacheId="166" r:id="rId5"/>
    <pivotCache cacheId="169" r:id="rId6"/>
    <pivotCache cacheId="172" r:id="rId7"/>
    <pivotCache cacheId="175" r:id="rId8"/>
    <pivotCache cacheId="178" r:id="rId9"/>
    <pivotCache cacheId="181" r:id="rId10"/>
  </pivotCaches>
  <extLst>
    <ext xmlns:x14="http://schemas.microsoft.com/office/spreadsheetml/2009/9/main" uri="{876F7934-8845-4945-9796-88D515C7AA90}">
      <x14:pivotCaches>
        <pivotCache cacheId="162"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ypertension_data" name="Hypertension_data" connection="WorksheetConnection_Hypertension_Data.csv.xlsx!Hypertensio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4822B6-6081-49CF-A373-83C04EFEB0CD}" keepAlive="1" name="Query - Hypertension_data" description="Connection to the 'Hypertension_data' query in the workbook." type="5" refreshedVersion="8" background="1" saveData="1">
    <dbPr connection="Provider=Microsoft.Mashup.OleDb.1;Data Source=$Workbook$;Location=Hypertension_data;Extended Properties=&quot;&quot;" command="SELECT * FROM [Hypertension_data]"/>
  </connection>
  <connection id="2" xr16:uid="{27A0C477-CB5A-41F8-AACF-099CB0364B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29341E8-351E-4F08-A1F1-CF83DCEC3032}" name="WorksheetConnection_Hypertension_Data.csv.xlsx!Hypertension_data" type="102" refreshedVersion="8" minRefreshableVersion="5">
    <extLst>
      <ext xmlns:x15="http://schemas.microsoft.com/office/spreadsheetml/2010/11/main" uri="{DE250136-89BD-433C-8126-D09CA5730AF9}">
        <x15:connection id="Hypertension_data" autoDelete="1">
          <x15:rangePr sourceName="_xlcn.WorksheetConnection_Hypertension_Data.csv.xlsxHypertension_data1"/>
        </x15:connection>
      </ext>
    </extLst>
  </connection>
</connections>
</file>

<file path=xl/sharedStrings.xml><?xml version="1.0" encoding="utf-8"?>
<sst xmlns="http://schemas.openxmlformats.org/spreadsheetml/2006/main" count="1477" uniqueCount="401">
  <si>
    <t>HTN0001</t>
  </si>
  <si>
    <t>Male</t>
  </si>
  <si>
    <t>ACE Inhibitor</t>
  </si>
  <si>
    <t>Poor</t>
  </si>
  <si>
    <t>HTN0002</t>
  </si>
  <si>
    <t>Beta Blocker</t>
  </si>
  <si>
    <t>Moderate</t>
  </si>
  <si>
    <t>HTN0003</t>
  </si>
  <si>
    <t>Calcium Channel Blocker</t>
  </si>
  <si>
    <t>HTN0004</t>
  </si>
  <si>
    <t>ARB</t>
  </si>
  <si>
    <t>HTN0005</t>
  </si>
  <si>
    <t>Female</t>
  </si>
  <si>
    <t>Combination Therapy</t>
  </si>
  <si>
    <t>HTN0006</t>
  </si>
  <si>
    <t>Good</t>
  </si>
  <si>
    <t>HTN0007</t>
  </si>
  <si>
    <t>HTN0008</t>
  </si>
  <si>
    <t>HTN0009</t>
  </si>
  <si>
    <t>Thiazide Diuretic</t>
  </si>
  <si>
    <t>HTN0010</t>
  </si>
  <si>
    <t>HTN0011</t>
  </si>
  <si>
    <t>HTN0012</t>
  </si>
  <si>
    <t>HTN0013</t>
  </si>
  <si>
    <t>HTN0014</t>
  </si>
  <si>
    <t>HTN0015</t>
  </si>
  <si>
    <t>HTN0016</t>
  </si>
  <si>
    <t>HTN0017</t>
  </si>
  <si>
    <t>HTN0018</t>
  </si>
  <si>
    <t>HTN0019</t>
  </si>
  <si>
    <t>HTN0020</t>
  </si>
  <si>
    <t>HTN0021</t>
  </si>
  <si>
    <t>HTN0022</t>
  </si>
  <si>
    <t>HTN0023</t>
  </si>
  <si>
    <t>HTN0024</t>
  </si>
  <si>
    <t>HTN0025</t>
  </si>
  <si>
    <t>HTN0026</t>
  </si>
  <si>
    <t>HTN0027</t>
  </si>
  <si>
    <t>HTN0028</t>
  </si>
  <si>
    <t>HTN0029</t>
  </si>
  <si>
    <t>HTN0030</t>
  </si>
  <si>
    <t>HTN0031</t>
  </si>
  <si>
    <t>HTN0032</t>
  </si>
  <si>
    <t>HTN0033</t>
  </si>
  <si>
    <t>HTN0034</t>
  </si>
  <si>
    <t>HTN0035</t>
  </si>
  <si>
    <t>HTN0036</t>
  </si>
  <si>
    <t>HTN0037</t>
  </si>
  <si>
    <t>HTN0038</t>
  </si>
  <si>
    <t>HTN0039</t>
  </si>
  <si>
    <t>HTN0040</t>
  </si>
  <si>
    <t>HTN0041</t>
  </si>
  <si>
    <t>HTN0042</t>
  </si>
  <si>
    <t>HTN0043</t>
  </si>
  <si>
    <t>HTN0044</t>
  </si>
  <si>
    <t>HTN0045</t>
  </si>
  <si>
    <t>HTN0046</t>
  </si>
  <si>
    <t>HTN0047</t>
  </si>
  <si>
    <t>HTN0048</t>
  </si>
  <si>
    <t>HTN0049</t>
  </si>
  <si>
    <t>HTN0050</t>
  </si>
  <si>
    <t>HTN0051</t>
  </si>
  <si>
    <t>HTN0052</t>
  </si>
  <si>
    <t>HTN0053</t>
  </si>
  <si>
    <t>HTN0054</t>
  </si>
  <si>
    <t>HTN0055</t>
  </si>
  <si>
    <t>HTN0056</t>
  </si>
  <si>
    <t>HTN0057</t>
  </si>
  <si>
    <t>HTN0058</t>
  </si>
  <si>
    <t>HTN0059</t>
  </si>
  <si>
    <t>HTN0060</t>
  </si>
  <si>
    <t>HTN0061</t>
  </si>
  <si>
    <t>HTN0062</t>
  </si>
  <si>
    <t>HTN0063</t>
  </si>
  <si>
    <t>HTN0064</t>
  </si>
  <si>
    <t>HTN0065</t>
  </si>
  <si>
    <t>HTN0066</t>
  </si>
  <si>
    <t>HTN0067</t>
  </si>
  <si>
    <t>HTN0068</t>
  </si>
  <si>
    <t>HTN0069</t>
  </si>
  <si>
    <t>HTN0070</t>
  </si>
  <si>
    <t>HTN0071</t>
  </si>
  <si>
    <t>HTN0072</t>
  </si>
  <si>
    <t>HTN0073</t>
  </si>
  <si>
    <t>HTN0074</t>
  </si>
  <si>
    <t>HTN0075</t>
  </si>
  <si>
    <t>HTN0076</t>
  </si>
  <si>
    <t>HTN0077</t>
  </si>
  <si>
    <t>HTN0078</t>
  </si>
  <si>
    <t>HTN0079</t>
  </si>
  <si>
    <t>HTN0080</t>
  </si>
  <si>
    <t>HTN0081</t>
  </si>
  <si>
    <t>HTN0082</t>
  </si>
  <si>
    <t>HTN0083</t>
  </si>
  <si>
    <t>HTN0084</t>
  </si>
  <si>
    <t>HTN0085</t>
  </si>
  <si>
    <t>HTN0086</t>
  </si>
  <si>
    <t>HTN0087</t>
  </si>
  <si>
    <t>HTN0088</t>
  </si>
  <si>
    <t>HTN0089</t>
  </si>
  <si>
    <t>HTN0090</t>
  </si>
  <si>
    <t>HTN0091</t>
  </si>
  <si>
    <t>HTN0092</t>
  </si>
  <si>
    <t>HTN0093</t>
  </si>
  <si>
    <t>HTN0094</t>
  </si>
  <si>
    <t>HTN0095</t>
  </si>
  <si>
    <t>HTN0096</t>
  </si>
  <si>
    <t>HTN0097</t>
  </si>
  <si>
    <t>HTN0098</t>
  </si>
  <si>
    <t>HTN0099</t>
  </si>
  <si>
    <t>HTN0100</t>
  </si>
  <si>
    <t>HTN0101</t>
  </si>
  <si>
    <t>HTN0102</t>
  </si>
  <si>
    <t>HTN0103</t>
  </si>
  <si>
    <t>HTN0104</t>
  </si>
  <si>
    <t>HTN0105</t>
  </si>
  <si>
    <t>HTN0106</t>
  </si>
  <si>
    <t>HTN0107</t>
  </si>
  <si>
    <t>HTN0108</t>
  </si>
  <si>
    <t>HTN0109</t>
  </si>
  <si>
    <t>HTN0110</t>
  </si>
  <si>
    <t>HTN0111</t>
  </si>
  <si>
    <t>HTN0112</t>
  </si>
  <si>
    <t>HTN0113</t>
  </si>
  <si>
    <t>HTN0114</t>
  </si>
  <si>
    <t>HTN0115</t>
  </si>
  <si>
    <t>HTN0116</t>
  </si>
  <si>
    <t>HTN0117</t>
  </si>
  <si>
    <t>HTN0118</t>
  </si>
  <si>
    <t>HTN0119</t>
  </si>
  <si>
    <t>HTN0120</t>
  </si>
  <si>
    <t>HTN0121</t>
  </si>
  <si>
    <t>HTN0122</t>
  </si>
  <si>
    <t>HTN0123</t>
  </si>
  <si>
    <t>HTN0124</t>
  </si>
  <si>
    <t>HTN0125</t>
  </si>
  <si>
    <t>HTN0126</t>
  </si>
  <si>
    <t>HTN0127</t>
  </si>
  <si>
    <t>HTN0128</t>
  </si>
  <si>
    <t>HTN0129</t>
  </si>
  <si>
    <t>HTN0130</t>
  </si>
  <si>
    <t>HTN0131</t>
  </si>
  <si>
    <t>HTN0132</t>
  </si>
  <si>
    <t>HTN0133</t>
  </si>
  <si>
    <t>HTN0134</t>
  </si>
  <si>
    <t>HTN0135</t>
  </si>
  <si>
    <t>HTN0136</t>
  </si>
  <si>
    <t>HTN0137</t>
  </si>
  <si>
    <t>HTN0138</t>
  </si>
  <si>
    <t>HTN0139</t>
  </si>
  <si>
    <t>HTN0140</t>
  </si>
  <si>
    <t>HTN0141</t>
  </si>
  <si>
    <t>HTN0142</t>
  </si>
  <si>
    <t>HTN0143</t>
  </si>
  <si>
    <t>HTN0144</t>
  </si>
  <si>
    <t>HTN0145</t>
  </si>
  <si>
    <t>HTN0146</t>
  </si>
  <si>
    <t>HTN0147</t>
  </si>
  <si>
    <t>HTN0148</t>
  </si>
  <si>
    <t>HTN0149</t>
  </si>
  <si>
    <t>HTN0150</t>
  </si>
  <si>
    <t>HTN0151</t>
  </si>
  <si>
    <t>HTN0152</t>
  </si>
  <si>
    <t>HTN0153</t>
  </si>
  <si>
    <t>HTN0154</t>
  </si>
  <si>
    <t>HTN0155</t>
  </si>
  <si>
    <t>HTN0156</t>
  </si>
  <si>
    <t>HTN0157</t>
  </si>
  <si>
    <t>HTN0158</t>
  </si>
  <si>
    <t>HTN0159</t>
  </si>
  <si>
    <t>HTN0160</t>
  </si>
  <si>
    <t>HTN0161</t>
  </si>
  <si>
    <t>HTN0162</t>
  </si>
  <si>
    <t>HTN0163</t>
  </si>
  <si>
    <t>HTN0164</t>
  </si>
  <si>
    <t>HTN0165</t>
  </si>
  <si>
    <t>HTN0166</t>
  </si>
  <si>
    <t>HTN0167</t>
  </si>
  <si>
    <t>HTN0168</t>
  </si>
  <si>
    <t>HTN0169</t>
  </si>
  <si>
    <t>HTN0170</t>
  </si>
  <si>
    <t>HTN0171</t>
  </si>
  <si>
    <t>HTN0172</t>
  </si>
  <si>
    <t>HTN0173</t>
  </si>
  <si>
    <t>HTN0174</t>
  </si>
  <si>
    <t>HTN0175</t>
  </si>
  <si>
    <t>HTN0176</t>
  </si>
  <si>
    <t>HTN0177</t>
  </si>
  <si>
    <t>HTN0178</t>
  </si>
  <si>
    <t>HTN0179</t>
  </si>
  <si>
    <t>HTN0180</t>
  </si>
  <si>
    <t>HTN0181</t>
  </si>
  <si>
    <t>HTN0182</t>
  </si>
  <si>
    <t>HTN0183</t>
  </si>
  <si>
    <t>HTN0184</t>
  </si>
  <si>
    <t>HTN0185</t>
  </si>
  <si>
    <t>HTN0186</t>
  </si>
  <si>
    <t>HTN0187</t>
  </si>
  <si>
    <t>HTN0188</t>
  </si>
  <si>
    <t>HTN0189</t>
  </si>
  <si>
    <t>HTN0190</t>
  </si>
  <si>
    <t>HTN0191</t>
  </si>
  <si>
    <t>HTN0192</t>
  </si>
  <si>
    <t>HTN0193</t>
  </si>
  <si>
    <t>HTN0194</t>
  </si>
  <si>
    <t>HTN0195</t>
  </si>
  <si>
    <t>HTN0196</t>
  </si>
  <si>
    <t>HTN0197</t>
  </si>
  <si>
    <t>HTN0198</t>
  </si>
  <si>
    <t>HTN0199</t>
  </si>
  <si>
    <t>HTN0200</t>
  </si>
  <si>
    <t>HTN0201</t>
  </si>
  <si>
    <t>HTN0202</t>
  </si>
  <si>
    <t>HTN0203</t>
  </si>
  <si>
    <t>HTN0204</t>
  </si>
  <si>
    <t>HTN0205</t>
  </si>
  <si>
    <t>HTN0206</t>
  </si>
  <si>
    <t>HTN0207</t>
  </si>
  <si>
    <t>HTN0208</t>
  </si>
  <si>
    <t>HTN0209</t>
  </si>
  <si>
    <t>HTN0210</t>
  </si>
  <si>
    <t>HTN0211</t>
  </si>
  <si>
    <t>HTN0212</t>
  </si>
  <si>
    <t>HTN0213</t>
  </si>
  <si>
    <t>HTN0214</t>
  </si>
  <si>
    <t>HTN0215</t>
  </si>
  <si>
    <t>HTN0216</t>
  </si>
  <si>
    <t>HTN0217</t>
  </si>
  <si>
    <t>HTN0218</t>
  </si>
  <si>
    <t>HTN0219</t>
  </si>
  <si>
    <t>HTN0220</t>
  </si>
  <si>
    <t>HTN0221</t>
  </si>
  <si>
    <t>HTN0222</t>
  </si>
  <si>
    <t>HTN0223</t>
  </si>
  <si>
    <t>HTN0224</t>
  </si>
  <si>
    <t>HTN0225</t>
  </si>
  <si>
    <t>HTN0226</t>
  </si>
  <si>
    <t>HTN0227</t>
  </si>
  <si>
    <t>HTN0228</t>
  </si>
  <si>
    <t>HTN0229</t>
  </si>
  <si>
    <t>HTN0230</t>
  </si>
  <si>
    <t>HTN0231</t>
  </si>
  <si>
    <t>HTN0232</t>
  </si>
  <si>
    <t>HTN0233</t>
  </si>
  <si>
    <t>HTN0234</t>
  </si>
  <si>
    <t>HTN0235</t>
  </si>
  <si>
    <t>HTN0236</t>
  </si>
  <si>
    <t>HTN0237</t>
  </si>
  <si>
    <t>HTN0238</t>
  </si>
  <si>
    <t>HTN0239</t>
  </si>
  <si>
    <t>HTN0240</t>
  </si>
  <si>
    <t>HTN0241</t>
  </si>
  <si>
    <t>HTN0242</t>
  </si>
  <si>
    <t>HTN0243</t>
  </si>
  <si>
    <t>HTN0244</t>
  </si>
  <si>
    <t>HTN0245</t>
  </si>
  <si>
    <t>HTN0246</t>
  </si>
  <si>
    <t>HTN0247</t>
  </si>
  <si>
    <t>HTN0248</t>
  </si>
  <si>
    <t>HTN0249</t>
  </si>
  <si>
    <t>HTN0250</t>
  </si>
  <si>
    <t>HTN0251</t>
  </si>
  <si>
    <t>HTN0252</t>
  </si>
  <si>
    <t>HTN0253</t>
  </si>
  <si>
    <t>HTN0254</t>
  </si>
  <si>
    <t>HTN0255</t>
  </si>
  <si>
    <t>HTN0256</t>
  </si>
  <si>
    <t>HTN0257</t>
  </si>
  <si>
    <t>HTN0258</t>
  </si>
  <si>
    <t>HTN0259</t>
  </si>
  <si>
    <t>HTN0260</t>
  </si>
  <si>
    <t>HTN0261</t>
  </si>
  <si>
    <t>HTN0262</t>
  </si>
  <si>
    <t>HTN0263</t>
  </si>
  <si>
    <t>HTN0264</t>
  </si>
  <si>
    <t>HTN0265</t>
  </si>
  <si>
    <t>HTN0266</t>
  </si>
  <si>
    <t>HTN0267</t>
  </si>
  <si>
    <t>HTN0268</t>
  </si>
  <si>
    <t>HTN0269</t>
  </si>
  <si>
    <t>HTN0270</t>
  </si>
  <si>
    <t>HTN0271</t>
  </si>
  <si>
    <t>HTN0272</t>
  </si>
  <si>
    <t>HTN0273</t>
  </si>
  <si>
    <t>HTN0274</t>
  </si>
  <si>
    <t>HTN0275</t>
  </si>
  <si>
    <t>HTN0276</t>
  </si>
  <si>
    <t>HTN0277</t>
  </si>
  <si>
    <t>HTN0278</t>
  </si>
  <si>
    <t>HTN0279</t>
  </si>
  <si>
    <t>HTN0280</t>
  </si>
  <si>
    <t>HTN0281</t>
  </si>
  <si>
    <t>HTN0282</t>
  </si>
  <si>
    <t>HTN0283</t>
  </si>
  <si>
    <t>HTN0284</t>
  </si>
  <si>
    <t>HTN0285</t>
  </si>
  <si>
    <t>HTN0286</t>
  </si>
  <si>
    <t>HTN0287</t>
  </si>
  <si>
    <t>HTN0288</t>
  </si>
  <si>
    <t>HTN0289</t>
  </si>
  <si>
    <t>HTN0290</t>
  </si>
  <si>
    <t>HTN0291</t>
  </si>
  <si>
    <t>HTN0292</t>
  </si>
  <si>
    <t>HTN0293</t>
  </si>
  <si>
    <t>HTN0294</t>
  </si>
  <si>
    <t>HTN0295</t>
  </si>
  <si>
    <t>HTN0296</t>
  </si>
  <si>
    <t>HTN0297</t>
  </si>
  <si>
    <t>HTN0298</t>
  </si>
  <si>
    <t>HTN0299</t>
  </si>
  <si>
    <t>HTN0300</t>
  </si>
  <si>
    <t>HTN0301</t>
  </si>
  <si>
    <t>HTN0302</t>
  </si>
  <si>
    <t>HTN0303</t>
  </si>
  <si>
    <t>HTN0304</t>
  </si>
  <si>
    <t>HTN0305</t>
  </si>
  <si>
    <t>HTN0306</t>
  </si>
  <si>
    <t>HTN0307</t>
  </si>
  <si>
    <t>HTN0308</t>
  </si>
  <si>
    <t>HTN0309</t>
  </si>
  <si>
    <t>HTN0310</t>
  </si>
  <si>
    <t>HTN0311</t>
  </si>
  <si>
    <t>HTN0312</t>
  </si>
  <si>
    <t>HTN0313</t>
  </si>
  <si>
    <t>HTN0314</t>
  </si>
  <si>
    <t>HTN0315</t>
  </si>
  <si>
    <t>HTN0316</t>
  </si>
  <si>
    <t>HTN0317</t>
  </si>
  <si>
    <t>HTN0318</t>
  </si>
  <si>
    <t>HTN0319</t>
  </si>
  <si>
    <t>HTN0320</t>
  </si>
  <si>
    <t>HTN0321</t>
  </si>
  <si>
    <t>HTN0322</t>
  </si>
  <si>
    <t>HTN0323</t>
  </si>
  <si>
    <t>HTN0324</t>
  </si>
  <si>
    <t>HTN0325</t>
  </si>
  <si>
    <t>HTN0326</t>
  </si>
  <si>
    <t>HTN0327</t>
  </si>
  <si>
    <t>HTN0328</t>
  </si>
  <si>
    <t>HTN0329</t>
  </si>
  <si>
    <t>HTN0330</t>
  </si>
  <si>
    <t>HTN0331</t>
  </si>
  <si>
    <t>HTN0332</t>
  </si>
  <si>
    <t>HTN0333</t>
  </si>
  <si>
    <t>HTN0334</t>
  </si>
  <si>
    <t>HTN0335</t>
  </si>
  <si>
    <t>HTN0336</t>
  </si>
  <si>
    <t>HTN0337</t>
  </si>
  <si>
    <t>HTN0338</t>
  </si>
  <si>
    <t>HTN0339</t>
  </si>
  <si>
    <t>HTN0340</t>
  </si>
  <si>
    <t>HTN0341</t>
  </si>
  <si>
    <t>HTN0342</t>
  </si>
  <si>
    <t>HTN0343</t>
  </si>
  <si>
    <t>HTN0344</t>
  </si>
  <si>
    <t>HTN0345</t>
  </si>
  <si>
    <t>HTN0346</t>
  </si>
  <si>
    <t>HTN0347</t>
  </si>
  <si>
    <t>HTN0348</t>
  </si>
  <si>
    <t>HTN0349</t>
  </si>
  <si>
    <t>HTN0350</t>
  </si>
  <si>
    <t>Age</t>
  </si>
  <si>
    <t>Gender</t>
  </si>
  <si>
    <t>Diabetes_Mellitus</t>
  </si>
  <si>
    <t>Chronic_Kidney_Disease</t>
  </si>
  <si>
    <t>Patient_ID</t>
  </si>
  <si>
    <t>Dyslipidemia</t>
  </si>
  <si>
    <t>Obesity</t>
  </si>
  <si>
    <t>Baseline_Systolic_BP</t>
  </si>
  <si>
    <t>Baseline_Diastolic_BP</t>
  </si>
  <si>
    <t>Antihypertensive_Class</t>
  </si>
  <si>
    <t>Followup_Systolic_BP</t>
  </si>
  <si>
    <t>BP_Controlled_After_3_Months</t>
  </si>
  <si>
    <t>Registration_Date</t>
  </si>
  <si>
    <t>Number_Of_Visits</t>
  </si>
  <si>
    <t>Followup_Diastolic_BP</t>
  </si>
  <si>
    <t>Medication_Adherence</t>
  </si>
  <si>
    <t>Row Labels</t>
  </si>
  <si>
    <t>Grand Total</t>
  </si>
  <si>
    <t>Count of Patient_ID</t>
  </si>
  <si>
    <t>Column Labels</t>
  </si>
  <si>
    <t>Not Controlled</t>
  </si>
  <si>
    <t>Controlled</t>
  </si>
  <si>
    <t>Analysis</t>
  </si>
  <si>
    <t>BP Control Summary</t>
  </si>
  <si>
    <t>BP_Status</t>
  </si>
  <si>
    <r>
      <rPr>
        <b/>
        <sz val="11"/>
        <color theme="1"/>
        <rFont val="Aptos Narrow"/>
        <family val="2"/>
        <scheme val="minor"/>
      </rPr>
      <t>Impact of Medication Adherence on BP Contro</t>
    </r>
    <r>
      <rPr>
        <sz val="11"/>
        <color theme="1"/>
        <rFont val="Aptos Narrow"/>
        <family val="2"/>
        <scheme val="minor"/>
      </rPr>
      <t>l</t>
    </r>
  </si>
  <si>
    <t>Effectiveness of Antihypertensive Drug Classes</t>
  </si>
  <si>
    <t>Systolic_Reduction</t>
  </si>
  <si>
    <t>Diastolic_Reduction</t>
  </si>
  <si>
    <t>Average of Diastolic_Reduction</t>
  </si>
  <si>
    <t>Average Systolic BP Reduction by Control Status</t>
  </si>
  <si>
    <t>KPIs</t>
  </si>
  <si>
    <t>Total Patient</t>
  </si>
  <si>
    <t>Controlled Rate</t>
  </si>
  <si>
    <t>Age_Group</t>
  </si>
  <si>
    <t>30-39</t>
  </si>
  <si>
    <t>40-49</t>
  </si>
  <si>
    <t>50-59</t>
  </si>
  <si>
    <t>60-69</t>
  </si>
  <si>
    <t>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</si>
</sst>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b/>
      <sz val="20"/>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0" borderId="0" xfId="0" applyFont="1"/>
    <xf numFmtId="10" fontId="0" fillId="0" borderId="0" xfId="0" applyNumberFormat="1"/>
    <xf numFmtId="164" fontId="0" fillId="0" borderId="0" xfId="0" applyNumberFormat="1"/>
    <xf numFmtId="0" fontId="3" fillId="0" borderId="0" xfId="0" applyFont="1"/>
    <xf numFmtId="0" fontId="4" fillId="0" borderId="0" xfId="0" applyFont="1"/>
    <xf numFmtId="0" fontId="0" fillId="2" borderId="0" xfId="0" applyFill="1"/>
    <xf numFmtId="0" fontId="0" fillId="0" borderId="0" xfId="0" applyNumberFormat="1"/>
  </cellXfs>
  <cellStyles count="1">
    <cellStyle name="Normal" xfId="0" builtinId="0"/>
  </cellStyles>
  <dxfs count="13">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64" formatCode="0.0"/>
    </dxf>
  </dxfs>
  <tableStyles count="0" defaultTableStyle="TableStyleMedium2" defaultPivotStyle="PivotStyleLight16"/>
  <colors>
    <mruColors>
      <color rgb="FF34495E"/>
      <color rgb="FF2E8B57"/>
      <color rgb="FFD9534F"/>
      <color rgb="FF1F4E79"/>
      <color rgb="FF505050"/>
      <color rgb="FF3498DB"/>
      <color rgb="FFF5F5F5"/>
      <color rgb="FFEB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[Hypertension_Dashboard.xlsx]Analysis!PivotTable2</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8B57"/>
          </a:solidFill>
          <a:ln w="19050">
            <a:noFill/>
          </a:ln>
          <a:effectLst/>
        </c:spPr>
      </c:pivotFmt>
      <c:pivotFmt>
        <c:idx val="2"/>
        <c:spPr>
          <a:solidFill>
            <a:srgbClr val="D9534F"/>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9534F"/>
          </a:solidFill>
          <a:ln w="19050">
            <a:noFill/>
          </a:ln>
          <a:effectLst/>
        </c:spPr>
      </c:pivotFmt>
      <c:pivotFmt>
        <c:idx val="5"/>
        <c:spPr>
          <a:solidFill>
            <a:srgbClr val="2E8B57"/>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9534F"/>
          </a:solidFill>
          <a:ln w="19050">
            <a:noFill/>
          </a:ln>
          <a:effectLst/>
        </c:spPr>
      </c:pivotFmt>
      <c:pivotFmt>
        <c:idx val="8"/>
        <c:spPr>
          <a:solidFill>
            <a:srgbClr val="2E8B57"/>
          </a:solidFill>
          <a:ln w="19050">
            <a:noFill/>
          </a:ln>
          <a:effectLst/>
        </c:spPr>
      </c:pivotFmt>
    </c:pivotFmts>
    <c:plotArea>
      <c:layout>
        <c:manualLayout>
          <c:layoutTarget val="inner"/>
          <c:xMode val="edge"/>
          <c:yMode val="edge"/>
          <c:x val="0.2830686789151356"/>
          <c:y val="0.13301702897311068"/>
          <c:w val="0.33032728863437527"/>
          <c:h val="0.77862897386059893"/>
        </c:manualLayout>
      </c:layout>
      <c:doughnutChart>
        <c:varyColors val="1"/>
        <c:ser>
          <c:idx val="0"/>
          <c:order val="0"/>
          <c:tx>
            <c:strRef>
              <c:f>Analysis!$B$3</c:f>
              <c:strCache>
                <c:ptCount val="1"/>
                <c:pt idx="0">
                  <c:v>Total</c:v>
                </c:pt>
              </c:strCache>
            </c:strRef>
          </c:tx>
          <c:spPr>
            <a:ln>
              <a:noFill/>
            </a:ln>
          </c:spPr>
          <c:dPt>
            <c:idx val="0"/>
            <c:bubble3D val="0"/>
            <c:spPr>
              <a:solidFill>
                <a:srgbClr val="D9534F"/>
              </a:solidFill>
              <a:ln w="19050">
                <a:noFill/>
              </a:ln>
              <a:effectLst/>
            </c:spPr>
            <c:extLst>
              <c:ext xmlns:c16="http://schemas.microsoft.com/office/drawing/2014/chart" uri="{C3380CC4-5D6E-409C-BE32-E72D297353CC}">
                <c16:uniqueId val="{00000001-873F-448B-98CC-3B81084B54FE}"/>
              </c:ext>
            </c:extLst>
          </c:dPt>
          <c:dPt>
            <c:idx val="1"/>
            <c:bubble3D val="0"/>
            <c:spPr>
              <a:solidFill>
                <a:srgbClr val="2E8B57"/>
              </a:solidFill>
              <a:ln w="19050">
                <a:noFill/>
              </a:ln>
              <a:effectLst/>
            </c:spPr>
            <c:extLst>
              <c:ext xmlns:c16="http://schemas.microsoft.com/office/drawing/2014/chart" uri="{C3380CC4-5D6E-409C-BE32-E72D297353CC}">
                <c16:uniqueId val="{00000003-873F-448B-98CC-3B81084B54F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Not Controlled</c:v>
                </c:pt>
                <c:pt idx="1">
                  <c:v>Controlled</c:v>
                </c:pt>
              </c:strCache>
            </c:strRef>
          </c:cat>
          <c:val>
            <c:numRef>
              <c:f>Analysis!$B$4:$B$6</c:f>
              <c:numCache>
                <c:formatCode>General</c:formatCode>
                <c:ptCount val="2"/>
                <c:pt idx="0">
                  <c:v>317</c:v>
                </c:pt>
                <c:pt idx="1">
                  <c:v>33</c:v>
                </c:pt>
              </c:numCache>
            </c:numRef>
          </c:val>
          <c:extLst>
            <c:ext xmlns:c16="http://schemas.microsoft.com/office/drawing/2014/chart" uri="{C3380CC4-5D6E-409C-BE32-E72D297353CC}">
              <c16:uniqueId val="{00000004-873F-448B-98CC-3B81084B54FE}"/>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b"/>
      <c:layout>
        <c:manualLayout>
          <c:xMode val="edge"/>
          <c:yMode val="edge"/>
          <c:x val="0.26882526047880378"/>
          <c:y val="0.88156112722751756"/>
          <c:w val="0.46234947904239243"/>
          <c:h val="0.10791255698300871"/>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505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[Hypertension_Dashboard.xlsx]Analysis!PivotTable3</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9534F"/>
          </a:solidFill>
          <a:ln>
            <a:noFill/>
          </a:ln>
          <a:effectLst/>
        </c:spPr>
      </c:pivotFmt>
      <c:pivotFmt>
        <c:idx val="7"/>
        <c:spPr>
          <a:solidFill>
            <a:srgbClr val="D9534F"/>
          </a:solidFill>
          <a:ln>
            <a:noFill/>
          </a:ln>
          <a:effectLst/>
        </c:spPr>
      </c:pivotFmt>
      <c:pivotFmt>
        <c:idx val="8"/>
        <c:spPr>
          <a:solidFill>
            <a:srgbClr val="D9534F"/>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03549997752768E-2"/>
          <c:y val="0.10434789753365117"/>
          <c:w val="0.94159290000449447"/>
          <c:h val="0.74132659454063299"/>
        </c:manualLayout>
      </c:layout>
      <c:barChart>
        <c:barDir val="col"/>
        <c:grouping val="clustered"/>
        <c:varyColors val="0"/>
        <c:ser>
          <c:idx val="0"/>
          <c:order val="0"/>
          <c:tx>
            <c:strRef>
              <c:f>Analysis!$F$3:$F$4</c:f>
              <c:strCache>
                <c:ptCount val="1"/>
                <c:pt idx="0">
                  <c:v>Controlled</c:v>
                </c:pt>
              </c:strCache>
            </c:strRef>
          </c:tx>
          <c:spPr>
            <a:solidFill>
              <a:srgbClr val="2E8B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Analysis!$E$5:$E$7</c:f>
              <c:strCache>
                <c:ptCount val="3"/>
                <c:pt idx="0">
                  <c:v>Good</c:v>
                </c:pt>
                <c:pt idx="1">
                  <c:v>Moderate</c:v>
                </c:pt>
                <c:pt idx="2">
                  <c:v>Poor</c:v>
                </c:pt>
              </c:strCache>
            </c:strRef>
          </c:cat>
          <c:val>
            <c:numRef>
              <c:f>Analysis!$F$5:$F$7</c:f>
              <c:numCache>
                <c:formatCode>0.00%</c:formatCode>
                <c:ptCount val="3"/>
                <c:pt idx="0">
                  <c:v>0.15238095238095239</c:v>
                </c:pt>
                <c:pt idx="1">
                  <c:v>0.11363636363636363</c:v>
                </c:pt>
                <c:pt idx="2">
                  <c:v>1.7699115044247787E-2</c:v>
                </c:pt>
              </c:numCache>
            </c:numRef>
          </c:val>
          <c:extLst>
            <c:ext xmlns:c16="http://schemas.microsoft.com/office/drawing/2014/chart" uri="{C3380CC4-5D6E-409C-BE32-E72D297353CC}">
              <c16:uniqueId val="{00000000-1B4A-41FB-85A3-AE36DB4471FD}"/>
            </c:ext>
          </c:extLst>
        </c:ser>
        <c:ser>
          <c:idx val="1"/>
          <c:order val="1"/>
          <c:tx>
            <c:strRef>
              <c:f>Analysis!$G$3:$G$4</c:f>
              <c:strCache>
                <c:ptCount val="1"/>
                <c:pt idx="0">
                  <c:v>Not Controlled</c:v>
                </c:pt>
              </c:strCache>
            </c:strRef>
          </c:tx>
          <c:spPr>
            <a:solidFill>
              <a:schemeClr val="accent2"/>
            </a:solidFill>
            <a:ln>
              <a:noFill/>
            </a:ln>
            <a:effectLst/>
          </c:spPr>
          <c:invertIfNegative val="0"/>
          <c:dPt>
            <c:idx val="0"/>
            <c:invertIfNegative val="0"/>
            <c:bubble3D val="0"/>
            <c:spPr>
              <a:solidFill>
                <a:srgbClr val="D9534F"/>
              </a:solidFill>
              <a:ln>
                <a:noFill/>
              </a:ln>
              <a:effectLst/>
            </c:spPr>
            <c:extLst>
              <c:ext xmlns:c16="http://schemas.microsoft.com/office/drawing/2014/chart" uri="{C3380CC4-5D6E-409C-BE32-E72D297353CC}">
                <c16:uniqueId val="{00000001-AC10-431B-82C2-8247128DD0CF}"/>
              </c:ext>
            </c:extLst>
          </c:dPt>
          <c:dPt>
            <c:idx val="1"/>
            <c:invertIfNegative val="0"/>
            <c:bubble3D val="0"/>
            <c:spPr>
              <a:solidFill>
                <a:srgbClr val="D9534F"/>
              </a:solidFill>
              <a:ln>
                <a:noFill/>
              </a:ln>
              <a:effectLst/>
            </c:spPr>
            <c:extLst>
              <c:ext xmlns:c16="http://schemas.microsoft.com/office/drawing/2014/chart" uri="{C3380CC4-5D6E-409C-BE32-E72D297353CC}">
                <c16:uniqueId val="{00000003-AC10-431B-82C2-8247128DD0CF}"/>
              </c:ext>
            </c:extLst>
          </c:dPt>
          <c:dPt>
            <c:idx val="2"/>
            <c:invertIfNegative val="0"/>
            <c:bubble3D val="0"/>
            <c:spPr>
              <a:solidFill>
                <a:srgbClr val="D9534F"/>
              </a:solidFill>
              <a:ln>
                <a:noFill/>
              </a:ln>
              <a:effectLst/>
            </c:spPr>
            <c:extLst>
              <c:ext xmlns:c16="http://schemas.microsoft.com/office/drawing/2014/chart" uri="{C3380CC4-5D6E-409C-BE32-E72D297353CC}">
                <c16:uniqueId val="{00000005-AC10-431B-82C2-8247128DD0C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Analysis!$E$5:$E$7</c:f>
              <c:strCache>
                <c:ptCount val="3"/>
                <c:pt idx="0">
                  <c:v>Good</c:v>
                </c:pt>
                <c:pt idx="1">
                  <c:v>Moderate</c:v>
                </c:pt>
                <c:pt idx="2">
                  <c:v>Poor</c:v>
                </c:pt>
              </c:strCache>
            </c:strRef>
          </c:cat>
          <c:val>
            <c:numRef>
              <c:f>Analysis!$G$5:$G$7</c:f>
              <c:numCache>
                <c:formatCode>0.00%</c:formatCode>
                <c:ptCount val="3"/>
                <c:pt idx="0">
                  <c:v>0.84761904761904761</c:v>
                </c:pt>
                <c:pt idx="1">
                  <c:v>0.88636363636363635</c:v>
                </c:pt>
                <c:pt idx="2">
                  <c:v>0.98230088495575218</c:v>
                </c:pt>
              </c:numCache>
            </c:numRef>
          </c:val>
          <c:extLst>
            <c:ext xmlns:c16="http://schemas.microsoft.com/office/drawing/2014/chart" uri="{C3380CC4-5D6E-409C-BE32-E72D297353CC}">
              <c16:uniqueId val="{00000008-349F-44CC-B944-B55E9A580F24}"/>
            </c:ext>
          </c:extLst>
        </c:ser>
        <c:dLbls>
          <c:dLblPos val="outEnd"/>
          <c:showLegendKey val="0"/>
          <c:showVal val="1"/>
          <c:showCatName val="0"/>
          <c:showSerName val="0"/>
          <c:showPercent val="0"/>
          <c:showBubbleSize val="0"/>
        </c:dLbls>
        <c:gapWidth val="21"/>
        <c:overlap val="-28"/>
        <c:axId val="1568140720"/>
        <c:axId val="1568146480"/>
      </c:barChart>
      <c:catAx>
        <c:axId val="156814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68146480"/>
        <c:crosses val="autoZero"/>
        <c:auto val="1"/>
        <c:lblAlgn val="ctr"/>
        <c:lblOffset val="100"/>
        <c:noMultiLvlLbl val="0"/>
      </c:catAx>
      <c:valAx>
        <c:axId val="1568146480"/>
        <c:scaling>
          <c:orientation val="minMax"/>
        </c:scaling>
        <c:delete val="1"/>
        <c:axPos val="l"/>
        <c:numFmt formatCode="0.00%" sourceLinked="1"/>
        <c:majorTickMark val="none"/>
        <c:minorTickMark val="none"/>
        <c:tickLblPos val="nextTo"/>
        <c:crossAx val="156814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5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Analysis!$B$10:$B$11</c:f>
              <c:strCache>
                <c:ptCount val="1"/>
                <c:pt idx="0">
                  <c:v>Controlled</c:v>
                </c:pt>
              </c:strCache>
            </c:strRef>
          </c:tx>
          <c:spPr>
            <a:solidFill>
              <a:srgbClr val="2E8B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Analysis!$A$12:$A$17</c:f>
              <c:strCache>
                <c:ptCount val="6"/>
                <c:pt idx="0">
                  <c:v>Combination Therapy</c:v>
                </c:pt>
                <c:pt idx="1">
                  <c:v>Thiazide Diuretic</c:v>
                </c:pt>
                <c:pt idx="2">
                  <c:v>Beta Blocker</c:v>
                </c:pt>
                <c:pt idx="3">
                  <c:v>ARB</c:v>
                </c:pt>
                <c:pt idx="4">
                  <c:v>Calcium Channel Blocker</c:v>
                </c:pt>
                <c:pt idx="5">
                  <c:v>ACE Inhibitor</c:v>
                </c:pt>
              </c:strCache>
            </c:strRef>
          </c:cat>
          <c:val>
            <c:numRef>
              <c:f>Analysis!$B$12:$B$17</c:f>
              <c:numCache>
                <c:formatCode>0.00%</c:formatCode>
                <c:ptCount val="6"/>
                <c:pt idx="0">
                  <c:v>0.21052631578947367</c:v>
                </c:pt>
                <c:pt idx="1">
                  <c:v>0.13114754098360656</c:v>
                </c:pt>
                <c:pt idx="2">
                  <c:v>9.8360655737704916E-2</c:v>
                </c:pt>
                <c:pt idx="3">
                  <c:v>5.8823529411764705E-2</c:v>
                </c:pt>
                <c:pt idx="4">
                  <c:v>5.1724137931034482E-2</c:v>
                </c:pt>
                <c:pt idx="5">
                  <c:v>0</c:v>
                </c:pt>
              </c:numCache>
            </c:numRef>
          </c:val>
          <c:extLst>
            <c:ext xmlns:c16="http://schemas.microsoft.com/office/drawing/2014/chart" uri="{C3380CC4-5D6E-409C-BE32-E72D297353CC}">
              <c16:uniqueId val="{00000000-2E2C-45C6-9746-91C9FE18DEF2}"/>
            </c:ext>
          </c:extLst>
        </c:ser>
        <c:ser>
          <c:idx val="1"/>
          <c:order val="1"/>
          <c:tx>
            <c:strRef>
              <c:f>Analysis!$C$10:$C$11</c:f>
              <c:strCache>
                <c:ptCount val="1"/>
                <c:pt idx="0">
                  <c:v>Not Controlled</c:v>
                </c:pt>
              </c:strCache>
            </c:strRef>
          </c:tx>
          <c:spPr>
            <a:solidFill>
              <a:srgbClr val="D953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05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Analysis!$A$12:$A$17</c:f>
              <c:strCache>
                <c:ptCount val="6"/>
                <c:pt idx="0">
                  <c:v>Combination Therapy</c:v>
                </c:pt>
                <c:pt idx="1">
                  <c:v>Thiazide Diuretic</c:v>
                </c:pt>
                <c:pt idx="2">
                  <c:v>Beta Blocker</c:v>
                </c:pt>
                <c:pt idx="3">
                  <c:v>ARB</c:v>
                </c:pt>
                <c:pt idx="4">
                  <c:v>Calcium Channel Blocker</c:v>
                </c:pt>
                <c:pt idx="5">
                  <c:v>ACE Inhibitor</c:v>
                </c:pt>
              </c:strCache>
            </c:strRef>
          </c:cat>
          <c:val>
            <c:numRef>
              <c:f>Analysis!$C$12:$C$17</c:f>
              <c:numCache>
                <c:formatCode>0.00%</c:formatCode>
                <c:ptCount val="6"/>
                <c:pt idx="0">
                  <c:v>0.78947368421052633</c:v>
                </c:pt>
                <c:pt idx="1">
                  <c:v>0.86885245901639341</c:v>
                </c:pt>
                <c:pt idx="2">
                  <c:v>0.90163934426229508</c:v>
                </c:pt>
                <c:pt idx="3">
                  <c:v>0.94117647058823528</c:v>
                </c:pt>
                <c:pt idx="4">
                  <c:v>0.94827586206896552</c:v>
                </c:pt>
                <c:pt idx="5">
                  <c:v>1</c:v>
                </c:pt>
              </c:numCache>
            </c:numRef>
          </c:val>
          <c:extLst>
            <c:ext xmlns:c16="http://schemas.microsoft.com/office/drawing/2014/chart" uri="{C3380CC4-5D6E-409C-BE32-E72D297353CC}">
              <c16:uniqueId val="{00000002-07F1-4D65-8D24-30BD0B257C53}"/>
            </c:ext>
          </c:extLst>
        </c:ser>
        <c:dLbls>
          <c:dLblPos val="outEnd"/>
          <c:showLegendKey val="0"/>
          <c:showVal val="1"/>
          <c:showCatName val="0"/>
          <c:showSerName val="0"/>
          <c:showPercent val="0"/>
          <c:showBubbleSize val="0"/>
        </c:dLbls>
        <c:gapWidth val="0"/>
        <c:axId val="1568112880"/>
        <c:axId val="1568106640"/>
      </c:barChart>
      <c:catAx>
        <c:axId val="156811288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68106640"/>
        <c:crosses val="autoZero"/>
        <c:auto val="1"/>
        <c:lblAlgn val="ctr"/>
        <c:lblOffset val="100"/>
        <c:noMultiLvlLbl val="0"/>
      </c:catAx>
      <c:valAx>
        <c:axId val="1568106640"/>
        <c:scaling>
          <c:orientation val="minMax"/>
        </c:scaling>
        <c:delete val="1"/>
        <c:axPos val="t"/>
        <c:numFmt formatCode="0.00%" sourceLinked="1"/>
        <c:majorTickMark val="none"/>
        <c:minorTickMark val="none"/>
        <c:tickLblPos val="nextTo"/>
        <c:crossAx val="156811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[Hypertension_Dashboard.xlsx]Analysis!PivotTable8</c:name>
    <c:fmtId val="9"/>
  </c:pivotSource>
  <c:chart>
    <c:autoTitleDeleted val="1"/>
    <c:pivotFmts>
      <c:pivotFmt>
        <c:idx val="0"/>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95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5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95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1053289989135"/>
          <c:y val="6.5476221164333132E-2"/>
          <c:w val="0.8518936496462155"/>
          <c:h val="0.77081307218460438"/>
        </c:manualLayout>
      </c:layout>
      <c:barChart>
        <c:barDir val="bar"/>
        <c:grouping val="stacked"/>
        <c:varyColors val="0"/>
        <c:ser>
          <c:idx val="0"/>
          <c:order val="0"/>
          <c:tx>
            <c:strRef>
              <c:f>Analysis!$B$21:$B$22</c:f>
              <c:strCache>
                <c:ptCount val="1"/>
                <c:pt idx="0">
                  <c:v>Not Controlled</c:v>
                </c:pt>
              </c:strCache>
            </c:strRef>
          </c:tx>
          <c:spPr>
            <a:solidFill>
              <a:srgbClr val="D953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Analysis!$A$23:$A$27</c:f>
              <c:strCache>
                <c:ptCount val="5"/>
                <c:pt idx="0">
                  <c:v>30-39</c:v>
                </c:pt>
                <c:pt idx="1">
                  <c:v>40-49</c:v>
                </c:pt>
                <c:pt idx="2">
                  <c:v>50-59</c:v>
                </c:pt>
                <c:pt idx="3">
                  <c:v>60-69</c:v>
                </c:pt>
                <c:pt idx="4">
                  <c:v>70+</c:v>
                </c:pt>
              </c:strCache>
            </c:strRef>
          </c:cat>
          <c:val>
            <c:numRef>
              <c:f>Analysis!$B$23:$B$27</c:f>
              <c:numCache>
                <c:formatCode>0.00%</c:formatCode>
                <c:ptCount val="5"/>
                <c:pt idx="0">
                  <c:v>0.93333333333333335</c:v>
                </c:pt>
                <c:pt idx="1">
                  <c:v>0.85245901639344257</c:v>
                </c:pt>
                <c:pt idx="2">
                  <c:v>0.90909090909090906</c:v>
                </c:pt>
                <c:pt idx="3">
                  <c:v>0.88135593220338981</c:v>
                </c:pt>
                <c:pt idx="4">
                  <c:v>0.93269230769230771</c:v>
                </c:pt>
              </c:numCache>
            </c:numRef>
          </c:val>
          <c:extLst>
            <c:ext xmlns:c16="http://schemas.microsoft.com/office/drawing/2014/chart" uri="{C3380CC4-5D6E-409C-BE32-E72D297353CC}">
              <c16:uniqueId val="{00000000-CC73-486B-9B21-5B1BBF81DDEC}"/>
            </c:ext>
          </c:extLst>
        </c:ser>
        <c:ser>
          <c:idx val="1"/>
          <c:order val="1"/>
          <c:tx>
            <c:strRef>
              <c:f>Analysis!$C$21:$C$22</c:f>
              <c:strCache>
                <c:ptCount val="1"/>
                <c:pt idx="0">
                  <c:v>Controlled</c:v>
                </c:pt>
              </c:strCache>
            </c:strRef>
          </c:tx>
          <c:spPr>
            <a:solidFill>
              <a:srgbClr val="2E8B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Analysis!$A$23:$A$27</c:f>
              <c:strCache>
                <c:ptCount val="5"/>
                <c:pt idx="0">
                  <c:v>30-39</c:v>
                </c:pt>
                <c:pt idx="1">
                  <c:v>40-49</c:v>
                </c:pt>
                <c:pt idx="2">
                  <c:v>50-59</c:v>
                </c:pt>
                <c:pt idx="3">
                  <c:v>60-69</c:v>
                </c:pt>
                <c:pt idx="4">
                  <c:v>70+</c:v>
                </c:pt>
              </c:strCache>
            </c:strRef>
          </c:cat>
          <c:val>
            <c:numRef>
              <c:f>Analysis!$C$23:$C$27</c:f>
              <c:numCache>
                <c:formatCode>0.00%</c:formatCode>
                <c:ptCount val="5"/>
                <c:pt idx="0">
                  <c:v>6.6666666666666666E-2</c:v>
                </c:pt>
                <c:pt idx="1">
                  <c:v>0.14754098360655737</c:v>
                </c:pt>
                <c:pt idx="2">
                  <c:v>9.0909090909090912E-2</c:v>
                </c:pt>
                <c:pt idx="3">
                  <c:v>0.11864406779661017</c:v>
                </c:pt>
                <c:pt idx="4">
                  <c:v>6.7307692307692304E-2</c:v>
                </c:pt>
              </c:numCache>
            </c:numRef>
          </c:val>
          <c:extLst>
            <c:ext xmlns:c16="http://schemas.microsoft.com/office/drawing/2014/chart" uri="{C3380CC4-5D6E-409C-BE32-E72D297353CC}">
              <c16:uniqueId val="{00000001-CC73-486B-9B21-5B1BBF81DDEC}"/>
            </c:ext>
          </c:extLst>
        </c:ser>
        <c:dLbls>
          <c:dLblPos val="ctr"/>
          <c:showLegendKey val="0"/>
          <c:showVal val="1"/>
          <c:showCatName val="0"/>
          <c:showSerName val="0"/>
          <c:showPercent val="0"/>
          <c:showBubbleSize val="0"/>
        </c:dLbls>
        <c:gapWidth val="30"/>
        <c:overlap val="100"/>
        <c:axId val="1041401823"/>
        <c:axId val="1041402303"/>
      </c:barChart>
      <c:catAx>
        <c:axId val="104140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41402303"/>
        <c:crosses val="autoZero"/>
        <c:auto val="1"/>
        <c:lblAlgn val="ctr"/>
        <c:lblOffset val="100"/>
        <c:noMultiLvlLbl val="0"/>
      </c:catAx>
      <c:valAx>
        <c:axId val="1041402303"/>
        <c:scaling>
          <c:orientation val="minMax"/>
        </c:scaling>
        <c:delete val="1"/>
        <c:axPos val="b"/>
        <c:numFmt formatCode="0.00%" sourceLinked="1"/>
        <c:majorTickMark val="none"/>
        <c:minorTickMark val="none"/>
        <c:tickLblPos val="nextTo"/>
        <c:crossAx val="1041401823"/>
        <c:crosses val="autoZero"/>
        <c:crossBetween val="between"/>
      </c:valAx>
      <c:spPr>
        <a:noFill/>
        <a:ln>
          <a:noFill/>
        </a:ln>
        <a:effectLst/>
      </c:spPr>
    </c:plotArea>
    <c:legend>
      <c:legendPos val="b"/>
      <c:layout>
        <c:manualLayout>
          <c:xMode val="edge"/>
          <c:yMode val="edge"/>
          <c:x val="0.26798640969336884"/>
          <c:y val="0.8779559795444225"/>
          <c:w val="0.46402697448715308"/>
          <c:h val="0.122044020455577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[Hypertension_Dashboard.xlsx]Analysis!PivotTable1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534F"/>
          </a:solidFill>
          <a:ln>
            <a:noFill/>
          </a:ln>
          <a:effectLst/>
        </c:spPr>
      </c:pivotFmt>
    </c:pivotFmts>
    <c:plotArea>
      <c:layout/>
      <c:barChart>
        <c:barDir val="col"/>
        <c:grouping val="clustered"/>
        <c:varyColors val="0"/>
        <c:ser>
          <c:idx val="0"/>
          <c:order val="0"/>
          <c:tx>
            <c:strRef>
              <c:f>Analysis!$F$10</c:f>
              <c:strCache>
                <c:ptCount val="1"/>
                <c:pt idx="0">
                  <c:v>Total</c:v>
                </c:pt>
              </c:strCache>
            </c:strRef>
          </c:tx>
          <c:spPr>
            <a:solidFill>
              <a:srgbClr val="2E8B57"/>
            </a:solidFill>
            <a:ln>
              <a:noFill/>
            </a:ln>
            <a:effectLst/>
          </c:spPr>
          <c:invertIfNegative val="0"/>
          <c:dPt>
            <c:idx val="0"/>
            <c:invertIfNegative val="0"/>
            <c:bubble3D val="0"/>
            <c:spPr>
              <a:solidFill>
                <a:srgbClr val="D9534F"/>
              </a:solidFill>
              <a:ln>
                <a:noFill/>
              </a:ln>
              <a:effectLst/>
            </c:spPr>
            <c:extLst>
              <c:ext xmlns:c16="http://schemas.microsoft.com/office/drawing/2014/chart" uri="{C3380CC4-5D6E-409C-BE32-E72D297353CC}">
                <c16:uniqueId val="{00000001-D68C-4067-BB80-922D22FF4BB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Analysis!$E$11:$E$12</c:f>
              <c:strCache>
                <c:ptCount val="2"/>
                <c:pt idx="0">
                  <c:v>Not Controlled</c:v>
                </c:pt>
                <c:pt idx="1">
                  <c:v>Controlled</c:v>
                </c:pt>
              </c:strCache>
            </c:strRef>
          </c:cat>
          <c:val>
            <c:numRef>
              <c:f>Analysis!$F$11:$F$12</c:f>
              <c:numCache>
                <c:formatCode>0.0</c:formatCode>
                <c:ptCount val="2"/>
                <c:pt idx="0">
                  <c:v>7.8107255520504735</c:v>
                </c:pt>
                <c:pt idx="1">
                  <c:v>13.090909090909092</c:v>
                </c:pt>
              </c:numCache>
            </c:numRef>
          </c:val>
          <c:extLst>
            <c:ext xmlns:c16="http://schemas.microsoft.com/office/drawing/2014/chart" uri="{C3380CC4-5D6E-409C-BE32-E72D297353CC}">
              <c16:uniqueId val="{00000000-753B-4B45-B9C5-7FC14359678C}"/>
            </c:ext>
          </c:extLst>
        </c:ser>
        <c:dLbls>
          <c:dLblPos val="outEnd"/>
          <c:showLegendKey val="0"/>
          <c:showVal val="1"/>
          <c:showCatName val="0"/>
          <c:showSerName val="0"/>
          <c:showPercent val="0"/>
          <c:showBubbleSize val="0"/>
        </c:dLbls>
        <c:gapWidth val="219"/>
        <c:overlap val="-27"/>
        <c:axId val="1568118640"/>
        <c:axId val="1568122000"/>
      </c:barChart>
      <c:catAx>
        <c:axId val="15681186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68122000"/>
        <c:crosses val="autoZero"/>
        <c:auto val="1"/>
        <c:lblAlgn val="ctr"/>
        <c:lblOffset val="100"/>
        <c:noMultiLvlLbl val="0"/>
      </c:catAx>
      <c:valAx>
        <c:axId val="1568122000"/>
        <c:scaling>
          <c:orientation val="minMax"/>
        </c:scaling>
        <c:delete val="1"/>
        <c:axPos val="l"/>
        <c:numFmt formatCode="0.0" sourceLinked="1"/>
        <c:majorTickMark val="none"/>
        <c:minorTickMark val="none"/>
        <c:tickLblPos val="nextTo"/>
        <c:crossAx val="156811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xdr:col>
      <xdr:colOff>338667</xdr:colOff>
      <xdr:row>4</xdr:row>
      <xdr:rowOff>169335</xdr:rowOff>
    </xdr:from>
    <xdr:to>
      <xdr:col>5</xdr:col>
      <xdr:colOff>194733</xdr:colOff>
      <xdr:row>40</xdr:row>
      <xdr:rowOff>152401</xdr:rowOff>
    </xdr:to>
    <xdr:sp macro="" textlink="">
      <xdr:nvSpPr>
        <xdr:cNvPr id="30" name="Rectangle 29">
          <a:extLst>
            <a:ext uri="{FF2B5EF4-FFF2-40B4-BE49-F238E27FC236}">
              <a16:creationId xmlns:a16="http://schemas.microsoft.com/office/drawing/2014/main" id="{5A2830FD-AA7E-3794-2D7E-42A380735E1E}"/>
            </a:ext>
          </a:extLst>
        </xdr:cNvPr>
        <xdr:cNvSpPr/>
      </xdr:nvSpPr>
      <xdr:spPr>
        <a:xfrm>
          <a:off x="948267" y="914402"/>
          <a:ext cx="2294466" cy="6688666"/>
        </a:xfrm>
        <a:prstGeom prst="rect">
          <a:avLst/>
        </a:prstGeom>
        <a:solidFill>
          <a:srgbClr val="1F4E7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10582</xdr:rowOff>
    </xdr:from>
    <xdr:to>
      <xdr:col>27</xdr:col>
      <xdr:colOff>453572</xdr:colOff>
      <xdr:row>7</xdr:row>
      <xdr:rowOff>67733</xdr:rowOff>
    </xdr:to>
    <xdr:sp macro="" textlink="">
      <xdr:nvSpPr>
        <xdr:cNvPr id="8" name="Rectangle 6">
          <a:extLst>
            <a:ext uri="{FF2B5EF4-FFF2-40B4-BE49-F238E27FC236}">
              <a16:creationId xmlns:a16="http://schemas.microsoft.com/office/drawing/2014/main" id="{A1F268C9-9E09-DFC1-0F0C-A5D152F4B149}"/>
            </a:ext>
          </a:extLst>
        </xdr:cNvPr>
        <xdr:cNvSpPr/>
      </xdr:nvSpPr>
      <xdr:spPr>
        <a:xfrm>
          <a:off x="0" y="10582"/>
          <a:ext cx="16912772" cy="1361018"/>
        </a:xfrm>
        <a:prstGeom prst="rect">
          <a:avLst/>
        </a:prstGeom>
        <a:solidFill>
          <a:srgbClr val="1F4E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Hypertension Control &amp; Treatment Effectiveness Dashboard</a:t>
          </a:r>
        </a:p>
        <a:p>
          <a:pPr algn="ctr"/>
          <a:r>
            <a:rPr lang="en-US" sz="1200" b="1"/>
            <a:t>Healthcare Analytics Dashboard | Dataverse Hub Data Challenge</a:t>
          </a:r>
        </a:p>
      </xdr:txBody>
    </xdr:sp>
    <xdr:clientData/>
  </xdr:twoCellAnchor>
  <xdr:twoCellAnchor>
    <xdr:from>
      <xdr:col>14</xdr:col>
      <xdr:colOff>127905</xdr:colOff>
      <xdr:row>5</xdr:row>
      <xdr:rowOff>51706</xdr:rowOff>
    </xdr:from>
    <xdr:to>
      <xdr:col>18</xdr:col>
      <xdr:colOff>101598</xdr:colOff>
      <xdr:row>10</xdr:row>
      <xdr:rowOff>118533</xdr:rowOff>
    </xdr:to>
    <xdr:sp macro="" textlink="">
      <xdr:nvSpPr>
        <xdr:cNvPr id="15" name="Rectangle: Rounded Corners 14">
          <a:extLst>
            <a:ext uri="{FF2B5EF4-FFF2-40B4-BE49-F238E27FC236}">
              <a16:creationId xmlns:a16="http://schemas.microsoft.com/office/drawing/2014/main" id="{C909C40D-DA45-4A7B-A961-8BB6A1674C03}"/>
            </a:ext>
          </a:extLst>
        </xdr:cNvPr>
        <xdr:cNvSpPr/>
      </xdr:nvSpPr>
      <xdr:spPr>
        <a:xfrm>
          <a:off x="8662305" y="983039"/>
          <a:ext cx="2412093" cy="998161"/>
        </a:xfrm>
        <a:prstGeom prst="roundRect">
          <a:avLst/>
        </a:prstGeom>
        <a:solidFill>
          <a:srgbClr val="D9534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15</xdr:col>
      <xdr:colOff>81340</xdr:colOff>
      <xdr:row>5</xdr:row>
      <xdr:rowOff>48077</xdr:rowOff>
    </xdr:from>
    <xdr:to>
      <xdr:col>18</xdr:col>
      <xdr:colOff>203804</xdr:colOff>
      <xdr:row>6</xdr:row>
      <xdr:rowOff>160866</xdr:rowOff>
    </xdr:to>
    <xdr:sp macro="" textlink="">
      <xdr:nvSpPr>
        <xdr:cNvPr id="16" name="TextBox 15">
          <a:extLst>
            <a:ext uri="{FF2B5EF4-FFF2-40B4-BE49-F238E27FC236}">
              <a16:creationId xmlns:a16="http://schemas.microsoft.com/office/drawing/2014/main" id="{1E68ACE5-17AF-016A-3EB5-438C9A202D89}"/>
            </a:ext>
          </a:extLst>
        </xdr:cNvPr>
        <xdr:cNvSpPr txBox="1"/>
      </xdr:nvSpPr>
      <xdr:spPr>
        <a:xfrm>
          <a:off x="9225340" y="979410"/>
          <a:ext cx="1951264" cy="299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Non Controlled Rate</a:t>
          </a:r>
        </a:p>
      </xdr:txBody>
    </xdr:sp>
    <xdr:clientData/>
  </xdr:twoCellAnchor>
  <xdr:twoCellAnchor>
    <xdr:from>
      <xdr:col>15</xdr:col>
      <xdr:colOff>313266</xdr:colOff>
      <xdr:row>7</xdr:row>
      <xdr:rowOff>20863</xdr:rowOff>
    </xdr:from>
    <xdr:to>
      <xdr:col>18</xdr:col>
      <xdr:colOff>53822</xdr:colOff>
      <xdr:row>9</xdr:row>
      <xdr:rowOff>143932</xdr:rowOff>
    </xdr:to>
    <xdr:sp macro="" textlink="Analysis!I16">
      <xdr:nvSpPr>
        <xdr:cNvPr id="17" name="TextBox 16">
          <a:extLst>
            <a:ext uri="{FF2B5EF4-FFF2-40B4-BE49-F238E27FC236}">
              <a16:creationId xmlns:a16="http://schemas.microsoft.com/office/drawing/2014/main" id="{84333020-0C22-B8F8-A732-66240A9C3B93}"/>
            </a:ext>
          </a:extLst>
        </xdr:cNvPr>
        <xdr:cNvSpPr txBox="1"/>
      </xdr:nvSpPr>
      <xdr:spPr>
        <a:xfrm>
          <a:off x="9457266" y="1324730"/>
          <a:ext cx="1569356" cy="495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947BA3-A866-4E6D-87BF-DF0E4132F429}" type="TxLink">
            <a:rPr lang="en-US" sz="3200" b="1" i="0" u="none" strike="noStrike">
              <a:solidFill>
                <a:schemeClr val="bg1"/>
              </a:solidFill>
              <a:latin typeface="Aptos Narrow"/>
              <a:ea typeface="+mn-ea"/>
              <a:cs typeface="+mn-cs"/>
            </a:rPr>
            <a:pPr marL="0" indent="0" algn="ctr"/>
            <a:t>90.57%</a:t>
          </a:fld>
          <a:endParaRPr lang="en-US" sz="3200" b="1" i="0" u="none" strike="noStrike">
            <a:solidFill>
              <a:schemeClr val="bg1"/>
            </a:solidFill>
            <a:latin typeface="Aptos Narrow"/>
            <a:ea typeface="+mn-ea"/>
            <a:cs typeface="+mn-cs"/>
          </a:endParaRPr>
        </a:p>
      </xdr:txBody>
    </xdr:sp>
    <xdr:clientData/>
  </xdr:twoCellAnchor>
  <xdr:twoCellAnchor>
    <xdr:from>
      <xdr:col>5</xdr:col>
      <xdr:colOff>409421</xdr:colOff>
      <xdr:row>11</xdr:row>
      <xdr:rowOff>99785</xdr:rowOff>
    </xdr:from>
    <xdr:to>
      <xdr:col>13</xdr:col>
      <xdr:colOff>601133</xdr:colOff>
      <xdr:row>25</xdr:row>
      <xdr:rowOff>16932</xdr:rowOff>
    </xdr:to>
    <xdr:sp macro="" textlink="">
      <xdr:nvSpPr>
        <xdr:cNvPr id="18" name="Rectangle: Rounded Corners 17">
          <a:extLst>
            <a:ext uri="{FF2B5EF4-FFF2-40B4-BE49-F238E27FC236}">
              <a16:creationId xmlns:a16="http://schemas.microsoft.com/office/drawing/2014/main" id="{54860688-6BF9-533E-71AB-25894EFC1576}"/>
            </a:ext>
          </a:extLst>
        </xdr:cNvPr>
        <xdr:cNvSpPr/>
      </xdr:nvSpPr>
      <xdr:spPr>
        <a:xfrm>
          <a:off x="3457421" y="2148718"/>
          <a:ext cx="5068512" cy="2524881"/>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574219</xdr:colOff>
      <xdr:row>5</xdr:row>
      <xdr:rowOff>23281</xdr:rowOff>
    </xdr:from>
    <xdr:to>
      <xdr:col>13</xdr:col>
      <xdr:colOff>549835</xdr:colOff>
      <xdr:row>10</xdr:row>
      <xdr:rowOff>135466</xdr:rowOff>
    </xdr:to>
    <xdr:sp macro="" textlink="">
      <xdr:nvSpPr>
        <xdr:cNvPr id="19" name="Rectangle: Rounded Corners 18">
          <a:extLst>
            <a:ext uri="{FF2B5EF4-FFF2-40B4-BE49-F238E27FC236}">
              <a16:creationId xmlns:a16="http://schemas.microsoft.com/office/drawing/2014/main" id="{AB174E24-ACC0-1B4E-D668-B0F12C13C561}"/>
            </a:ext>
          </a:extLst>
        </xdr:cNvPr>
        <xdr:cNvSpPr/>
      </xdr:nvSpPr>
      <xdr:spPr>
        <a:xfrm>
          <a:off x="6060619" y="954614"/>
          <a:ext cx="2414016" cy="1043519"/>
        </a:xfrm>
        <a:prstGeom prst="roundRect">
          <a:avLst/>
        </a:prstGeom>
        <a:solidFill>
          <a:srgbClr val="2E8B5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413355</xdr:colOff>
      <xdr:row>5</xdr:row>
      <xdr:rowOff>11793</xdr:rowOff>
    </xdr:from>
    <xdr:to>
      <xdr:col>9</xdr:col>
      <xdr:colOff>388971</xdr:colOff>
      <xdr:row>10</xdr:row>
      <xdr:rowOff>101600</xdr:rowOff>
    </xdr:to>
    <xdr:sp macro="" textlink="">
      <xdr:nvSpPr>
        <xdr:cNvPr id="20" name="Rectangle: Rounded Corners 19">
          <a:extLst>
            <a:ext uri="{FF2B5EF4-FFF2-40B4-BE49-F238E27FC236}">
              <a16:creationId xmlns:a16="http://schemas.microsoft.com/office/drawing/2014/main" id="{B6E61C7E-8922-FF75-9FAE-4A5483856653}"/>
            </a:ext>
          </a:extLst>
        </xdr:cNvPr>
        <xdr:cNvSpPr/>
      </xdr:nvSpPr>
      <xdr:spPr>
        <a:xfrm>
          <a:off x="3461355" y="943126"/>
          <a:ext cx="2414016" cy="1021141"/>
        </a:xfrm>
        <a:prstGeom prst="roundRect">
          <a:avLst/>
        </a:prstGeom>
        <a:solidFill>
          <a:srgbClr val="3498D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552298</xdr:colOff>
      <xdr:row>5</xdr:row>
      <xdr:rowOff>48077</xdr:rowOff>
    </xdr:from>
    <xdr:to>
      <xdr:col>13</xdr:col>
      <xdr:colOff>430741</xdr:colOff>
      <xdr:row>7</xdr:row>
      <xdr:rowOff>23586</xdr:rowOff>
    </xdr:to>
    <xdr:sp macro="" textlink="">
      <xdr:nvSpPr>
        <xdr:cNvPr id="13" name="TextBox 12">
          <a:extLst>
            <a:ext uri="{FF2B5EF4-FFF2-40B4-BE49-F238E27FC236}">
              <a16:creationId xmlns:a16="http://schemas.microsoft.com/office/drawing/2014/main" id="{59884386-40F3-DF65-A72B-62C6A36463D9}"/>
            </a:ext>
          </a:extLst>
        </xdr:cNvPr>
        <xdr:cNvSpPr txBox="1"/>
      </xdr:nvSpPr>
      <xdr:spPr>
        <a:xfrm>
          <a:off x="6648298" y="979410"/>
          <a:ext cx="1707243" cy="34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Controlled Rate</a:t>
          </a:r>
        </a:p>
      </xdr:txBody>
    </xdr:sp>
    <xdr:clientData/>
  </xdr:twoCellAnchor>
  <xdr:twoCellAnchor>
    <xdr:from>
      <xdr:col>11</xdr:col>
      <xdr:colOff>65616</xdr:colOff>
      <xdr:row>7</xdr:row>
      <xdr:rowOff>20863</xdr:rowOff>
    </xdr:from>
    <xdr:to>
      <xdr:col>13</xdr:col>
      <xdr:colOff>429380</xdr:colOff>
      <xdr:row>9</xdr:row>
      <xdr:rowOff>181730</xdr:rowOff>
    </xdr:to>
    <xdr:sp macro="" textlink="Analysis!I17">
      <xdr:nvSpPr>
        <xdr:cNvPr id="14" name="TextBox 13">
          <a:extLst>
            <a:ext uri="{FF2B5EF4-FFF2-40B4-BE49-F238E27FC236}">
              <a16:creationId xmlns:a16="http://schemas.microsoft.com/office/drawing/2014/main" id="{3E61750C-2D6C-E872-503B-FE61A123547D}"/>
            </a:ext>
          </a:extLst>
        </xdr:cNvPr>
        <xdr:cNvSpPr txBox="1"/>
      </xdr:nvSpPr>
      <xdr:spPr>
        <a:xfrm>
          <a:off x="6771216" y="1324730"/>
          <a:ext cx="158296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490265-E6DD-4379-9625-441D3D3D1C27}" type="TxLink">
            <a:rPr lang="en-US" sz="3200" b="1" i="0" u="none" strike="noStrike">
              <a:solidFill>
                <a:schemeClr val="bg1"/>
              </a:solidFill>
              <a:latin typeface="Aptos Narrow"/>
              <a:ea typeface="+mn-ea"/>
              <a:cs typeface="+mn-cs"/>
            </a:rPr>
            <a:pPr marL="0" indent="0" algn="ctr"/>
            <a:t>9.43%</a:t>
          </a:fld>
          <a:endParaRPr lang="en-US" sz="3200" b="1" i="0" u="none" strike="noStrike">
            <a:solidFill>
              <a:schemeClr val="bg1"/>
            </a:solidFill>
            <a:latin typeface="Aptos Narrow"/>
            <a:ea typeface="+mn-ea"/>
            <a:cs typeface="+mn-cs"/>
          </a:endParaRPr>
        </a:p>
      </xdr:txBody>
    </xdr:sp>
    <xdr:clientData/>
  </xdr:twoCellAnchor>
  <xdr:twoCellAnchor>
    <xdr:from>
      <xdr:col>7</xdr:col>
      <xdr:colOff>188388</xdr:colOff>
      <xdr:row>7</xdr:row>
      <xdr:rowOff>20863</xdr:rowOff>
    </xdr:from>
    <xdr:to>
      <xdr:col>8</xdr:col>
      <xdr:colOff>541864</xdr:colOff>
      <xdr:row>10</xdr:row>
      <xdr:rowOff>8466</xdr:rowOff>
    </xdr:to>
    <xdr:sp macro="" textlink="Analysis!F18">
      <xdr:nvSpPr>
        <xdr:cNvPr id="10" name="TextBox 9">
          <a:extLst>
            <a:ext uri="{FF2B5EF4-FFF2-40B4-BE49-F238E27FC236}">
              <a16:creationId xmlns:a16="http://schemas.microsoft.com/office/drawing/2014/main" id="{8E913D53-6651-2BCC-583E-53F7BA3E969C}"/>
            </a:ext>
          </a:extLst>
        </xdr:cNvPr>
        <xdr:cNvSpPr txBox="1"/>
      </xdr:nvSpPr>
      <xdr:spPr>
        <a:xfrm>
          <a:off x="4455588" y="1324730"/>
          <a:ext cx="963076" cy="546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15BB1B-0FE7-4C67-B6AA-8AE0C38FF0F8}" type="TxLink">
            <a:rPr lang="en-US" sz="3200" b="1" i="0" u="none" strike="noStrike">
              <a:solidFill>
                <a:schemeClr val="bg1"/>
              </a:solidFill>
              <a:latin typeface="Aptos Narrow"/>
              <a:ea typeface="+mn-ea"/>
              <a:cs typeface="+mn-cs"/>
            </a:rPr>
            <a:pPr marL="0" indent="0" algn="ctr"/>
            <a:t>350</a:t>
          </a:fld>
          <a:endParaRPr lang="en-US" sz="3200" b="1" i="0" u="none" strike="noStrike">
            <a:solidFill>
              <a:schemeClr val="bg1"/>
            </a:solidFill>
            <a:latin typeface="Aptos Narrow"/>
            <a:ea typeface="+mn-ea"/>
            <a:cs typeface="+mn-cs"/>
          </a:endParaRPr>
        </a:p>
      </xdr:txBody>
    </xdr:sp>
    <xdr:clientData/>
  </xdr:twoCellAnchor>
  <xdr:twoCellAnchor>
    <xdr:from>
      <xdr:col>6</xdr:col>
      <xdr:colOff>581782</xdr:colOff>
      <xdr:row>5</xdr:row>
      <xdr:rowOff>48077</xdr:rowOff>
    </xdr:from>
    <xdr:to>
      <xdr:col>9</xdr:col>
      <xdr:colOff>148168</xdr:colOff>
      <xdr:row>7</xdr:row>
      <xdr:rowOff>23586</xdr:rowOff>
    </xdr:to>
    <xdr:sp macro="" textlink="">
      <xdr:nvSpPr>
        <xdr:cNvPr id="9" name="TextBox 8">
          <a:extLst>
            <a:ext uri="{FF2B5EF4-FFF2-40B4-BE49-F238E27FC236}">
              <a16:creationId xmlns:a16="http://schemas.microsoft.com/office/drawing/2014/main" id="{62CD3CA8-B9BB-93E7-2ECA-0A6B2D7931B3}"/>
            </a:ext>
          </a:extLst>
        </xdr:cNvPr>
        <xdr:cNvSpPr txBox="1"/>
      </xdr:nvSpPr>
      <xdr:spPr>
        <a:xfrm>
          <a:off x="4239382" y="979410"/>
          <a:ext cx="1395186" cy="34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bg1"/>
              </a:solidFill>
              <a:latin typeface="+mn-lt"/>
              <a:ea typeface="+mn-ea"/>
              <a:cs typeface="+mn-cs"/>
            </a:rPr>
            <a:t>Total Patients</a:t>
          </a:r>
        </a:p>
      </xdr:txBody>
    </xdr:sp>
    <xdr:clientData/>
  </xdr:twoCellAnchor>
  <xdr:twoCellAnchor>
    <xdr:from>
      <xdr:col>5</xdr:col>
      <xdr:colOff>410026</xdr:colOff>
      <xdr:row>25</xdr:row>
      <xdr:rowOff>160865</xdr:rowOff>
    </xdr:from>
    <xdr:to>
      <xdr:col>13</xdr:col>
      <xdr:colOff>599002</xdr:colOff>
      <xdr:row>39</xdr:row>
      <xdr:rowOff>76876</xdr:rowOff>
    </xdr:to>
    <xdr:sp macro="" textlink="">
      <xdr:nvSpPr>
        <xdr:cNvPr id="21" name="Rectangle: Rounded Corners 20">
          <a:extLst>
            <a:ext uri="{FF2B5EF4-FFF2-40B4-BE49-F238E27FC236}">
              <a16:creationId xmlns:a16="http://schemas.microsoft.com/office/drawing/2014/main" id="{A27B1B32-D323-C676-82A7-6373D9605920}"/>
            </a:ext>
          </a:extLst>
        </xdr:cNvPr>
        <xdr:cNvSpPr/>
      </xdr:nvSpPr>
      <xdr:spPr>
        <a:xfrm>
          <a:off x="3458026" y="4817532"/>
          <a:ext cx="5065776" cy="252374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143932</xdr:colOff>
      <xdr:row>11</xdr:row>
      <xdr:rowOff>99785</xdr:rowOff>
    </xdr:from>
    <xdr:to>
      <xdr:col>22</xdr:col>
      <xdr:colOff>332908</xdr:colOff>
      <xdr:row>25</xdr:row>
      <xdr:rowOff>15795</xdr:rowOff>
    </xdr:to>
    <xdr:sp macro="" textlink="">
      <xdr:nvSpPr>
        <xdr:cNvPr id="22" name="Rectangle: Rounded Corners 21">
          <a:extLst>
            <a:ext uri="{FF2B5EF4-FFF2-40B4-BE49-F238E27FC236}">
              <a16:creationId xmlns:a16="http://schemas.microsoft.com/office/drawing/2014/main" id="{21E51C88-A1AE-830C-8C73-C89300B790A3}"/>
            </a:ext>
          </a:extLst>
        </xdr:cNvPr>
        <xdr:cNvSpPr/>
      </xdr:nvSpPr>
      <xdr:spPr>
        <a:xfrm>
          <a:off x="8678332" y="2148718"/>
          <a:ext cx="5065776" cy="252374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431800</xdr:colOff>
      <xdr:row>16</xdr:row>
      <xdr:rowOff>135468</xdr:rowOff>
    </xdr:from>
    <xdr:to>
      <xdr:col>5</xdr:col>
      <xdr:colOff>127000</xdr:colOff>
      <xdr:row>27</xdr:row>
      <xdr:rowOff>143935</xdr:rowOff>
    </xdr:to>
    <mc:AlternateContent xmlns:mc="http://schemas.openxmlformats.org/markup-compatibility/2006">
      <mc:Choice xmlns:a14="http://schemas.microsoft.com/office/drawing/2010/main" Requires="a14">
        <xdr:graphicFrame macro="">
          <xdr:nvGraphicFramePr>
            <xdr:cNvPr id="23" name="Antihypertensive_Class 1">
              <a:extLst>
                <a:ext uri="{FF2B5EF4-FFF2-40B4-BE49-F238E27FC236}">
                  <a16:creationId xmlns:a16="http://schemas.microsoft.com/office/drawing/2014/main" id="{AD93B055-2CDF-4EF5-BF40-7A1126616B9F}"/>
                </a:ext>
              </a:extLst>
            </xdr:cNvPr>
            <xdr:cNvGraphicFramePr/>
          </xdr:nvGraphicFramePr>
          <xdr:xfrm>
            <a:off x="0" y="0"/>
            <a:ext cx="0" cy="0"/>
          </xdr:xfrm>
          <a:graphic>
            <a:graphicData uri="http://schemas.microsoft.com/office/drawing/2010/slicer">
              <sle:slicer xmlns:sle="http://schemas.microsoft.com/office/drawing/2010/slicer" name="Antihypertensive_Class 1"/>
            </a:graphicData>
          </a:graphic>
        </xdr:graphicFrame>
      </mc:Choice>
      <mc:Fallback>
        <xdr:sp macro="" textlink="">
          <xdr:nvSpPr>
            <xdr:cNvPr id="0" name=""/>
            <xdr:cNvSpPr>
              <a:spLocks noTextEdit="1"/>
            </xdr:cNvSpPr>
          </xdr:nvSpPr>
          <xdr:spPr>
            <a:xfrm>
              <a:off x="1041400" y="3115735"/>
              <a:ext cx="2133600"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440266</xdr:colOff>
      <xdr:row>13</xdr:row>
      <xdr:rowOff>84666</xdr:rowOff>
    </xdr:from>
    <xdr:to>
      <xdr:col>5</xdr:col>
      <xdr:colOff>118533</xdr:colOff>
      <xdr:row>16</xdr:row>
      <xdr:rowOff>135470</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28978C68-526C-476E-A978-3E54244559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49866" y="2506133"/>
              <a:ext cx="2116667" cy="609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431800</xdr:colOff>
      <xdr:row>7</xdr:row>
      <xdr:rowOff>42336</xdr:rowOff>
    </xdr:from>
    <xdr:to>
      <xdr:col>5</xdr:col>
      <xdr:colOff>101603</xdr:colOff>
      <xdr:row>13</xdr:row>
      <xdr:rowOff>101600</xdr:rowOff>
    </xdr:to>
    <mc:AlternateContent xmlns:mc="http://schemas.openxmlformats.org/markup-compatibility/2006">
      <mc:Choice xmlns:a14="http://schemas.microsoft.com/office/drawing/2010/main" Requires="a14">
        <xdr:graphicFrame macro="">
          <xdr:nvGraphicFramePr>
            <xdr:cNvPr id="26" name="Medication_Adherence 2">
              <a:extLst>
                <a:ext uri="{FF2B5EF4-FFF2-40B4-BE49-F238E27FC236}">
                  <a16:creationId xmlns:a16="http://schemas.microsoft.com/office/drawing/2014/main" id="{EB073C3B-F3E5-442D-8580-0BE2BAD76F39}"/>
                </a:ext>
              </a:extLst>
            </xdr:cNvPr>
            <xdr:cNvGraphicFramePr/>
          </xdr:nvGraphicFramePr>
          <xdr:xfrm>
            <a:off x="0" y="0"/>
            <a:ext cx="0" cy="0"/>
          </xdr:xfrm>
          <a:graphic>
            <a:graphicData uri="http://schemas.microsoft.com/office/drawing/2010/slicer">
              <sle:slicer xmlns:sle="http://schemas.microsoft.com/office/drawing/2010/slicer" name="Medication_Adherence 2"/>
            </a:graphicData>
          </a:graphic>
        </xdr:graphicFrame>
      </mc:Choice>
      <mc:Fallback>
        <xdr:sp macro="" textlink="">
          <xdr:nvSpPr>
            <xdr:cNvPr id="0" name=""/>
            <xdr:cNvSpPr>
              <a:spLocks noTextEdit="1"/>
            </xdr:cNvSpPr>
          </xdr:nvSpPr>
          <xdr:spPr>
            <a:xfrm>
              <a:off x="1041400" y="1346203"/>
              <a:ext cx="2108203" cy="1176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482600</xdr:colOff>
      <xdr:row>12</xdr:row>
      <xdr:rowOff>33867</xdr:rowOff>
    </xdr:from>
    <xdr:to>
      <xdr:col>14</xdr:col>
      <xdr:colOff>25400</xdr:colOff>
      <xdr:row>25</xdr:row>
      <xdr:rowOff>25400</xdr:rowOff>
    </xdr:to>
    <xdr:graphicFrame macro="">
      <xdr:nvGraphicFramePr>
        <xdr:cNvPr id="2" name="Chart 1">
          <a:extLst>
            <a:ext uri="{FF2B5EF4-FFF2-40B4-BE49-F238E27FC236}">
              <a16:creationId xmlns:a16="http://schemas.microsoft.com/office/drawing/2014/main" id="{CAB5C095-3BFA-4C20-97AE-71BCFA8EE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84667</xdr:colOff>
      <xdr:row>13</xdr:row>
      <xdr:rowOff>110068</xdr:rowOff>
    </xdr:from>
    <xdr:to>
      <xdr:col>21</xdr:col>
      <xdr:colOff>601132</xdr:colOff>
      <xdr:row>24</xdr:row>
      <xdr:rowOff>8467</xdr:rowOff>
    </xdr:to>
    <xdr:graphicFrame macro="">
      <xdr:nvGraphicFramePr>
        <xdr:cNvPr id="3" name="Chart 2">
          <a:extLst>
            <a:ext uri="{FF2B5EF4-FFF2-40B4-BE49-F238E27FC236}">
              <a16:creationId xmlns:a16="http://schemas.microsoft.com/office/drawing/2014/main" id="{F42B31E8-A8AB-4D34-80F0-7A58BD9CA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143933</xdr:colOff>
      <xdr:row>25</xdr:row>
      <xdr:rowOff>160866</xdr:rowOff>
    </xdr:from>
    <xdr:to>
      <xdr:col>22</xdr:col>
      <xdr:colOff>332909</xdr:colOff>
      <xdr:row>39</xdr:row>
      <xdr:rowOff>76877</xdr:rowOff>
    </xdr:to>
    <xdr:sp macro="" textlink="">
      <xdr:nvSpPr>
        <xdr:cNvPr id="28" name="Rectangle: Rounded Corners 27">
          <a:extLst>
            <a:ext uri="{FF2B5EF4-FFF2-40B4-BE49-F238E27FC236}">
              <a16:creationId xmlns:a16="http://schemas.microsoft.com/office/drawing/2014/main" id="{B2490950-EEA6-800A-FF3D-3B2D6EA80D95}"/>
            </a:ext>
          </a:extLst>
        </xdr:cNvPr>
        <xdr:cNvSpPr/>
      </xdr:nvSpPr>
      <xdr:spPr>
        <a:xfrm>
          <a:off x="8678333" y="4817533"/>
          <a:ext cx="5065776" cy="252374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465667</xdr:colOff>
      <xdr:row>28</xdr:row>
      <xdr:rowOff>8467</xdr:rowOff>
    </xdr:from>
    <xdr:to>
      <xdr:col>13</xdr:col>
      <xdr:colOff>321734</xdr:colOff>
      <xdr:row>39</xdr:row>
      <xdr:rowOff>93134</xdr:rowOff>
    </xdr:to>
    <xdr:graphicFrame macro="">
      <xdr:nvGraphicFramePr>
        <xdr:cNvPr id="5" name="Chart 4">
          <a:extLst>
            <a:ext uri="{FF2B5EF4-FFF2-40B4-BE49-F238E27FC236}">
              <a16:creationId xmlns:a16="http://schemas.microsoft.com/office/drawing/2014/main" id="{22AB7C8C-32B6-4F98-A7CF-B1FC57DB3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110070</xdr:colOff>
      <xdr:row>5</xdr:row>
      <xdr:rowOff>59268</xdr:rowOff>
    </xdr:from>
    <xdr:to>
      <xdr:col>4</xdr:col>
      <xdr:colOff>499537</xdr:colOff>
      <xdr:row>6</xdr:row>
      <xdr:rowOff>127001</xdr:rowOff>
    </xdr:to>
    <xdr:sp macro="" textlink="">
      <xdr:nvSpPr>
        <xdr:cNvPr id="31" name="TextBox 30">
          <a:extLst>
            <a:ext uri="{FF2B5EF4-FFF2-40B4-BE49-F238E27FC236}">
              <a16:creationId xmlns:a16="http://schemas.microsoft.com/office/drawing/2014/main" id="{DC6CAB6F-B13F-FA23-9D91-09546AB8A14C}"/>
            </a:ext>
          </a:extLst>
        </xdr:cNvPr>
        <xdr:cNvSpPr txBox="1"/>
      </xdr:nvSpPr>
      <xdr:spPr>
        <a:xfrm>
          <a:off x="1329270" y="990601"/>
          <a:ext cx="160866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Interactive Filters</a:t>
          </a:r>
        </a:p>
      </xdr:txBody>
    </xdr:sp>
    <xdr:clientData/>
  </xdr:twoCellAnchor>
  <xdr:twoCellAnchor>
    <xdr:from>
      <xdr:col>6</xdr:col>
      <xdr:colOff>93133</xdr:colOff>
      <xdr:row>11</xdr:row>
      <xdr:rowOff>118533</xdr:rowOff>
    </xdr:from>
    <xdr:to>
      <xdr:col>9</xdr:col>
      <xdr:colOff>499533</xdr:colOff>
      <xdr:row>13</xdr:row>
      <xdr:rowOff>50799</xdr:rowOff>
    </xdr:to>
    <xdr:sp macro="" textlink="">
      <xdr:nvSpPr>
        <xdr:cNvPr id="32" name="TextBox 31">
          <a:extLst>
            <a:ext uri="{FF2B5EF4-FFF2-40B4-BE49-F238E27FC236}">
              <a16:creationId xmlns:a16="http://schemas.microsoft.com/office/drawing/2014/main" id="{FA643C9E-0203-4966-2689-F32F998C4AA1}"/>
            </a:ext>
          </a:extLst>
        </xdr:cNvPr>
        <xdr:cNvSpPr txBox="1"/>
      </xdr:nvSpPr>
      <xdr:spPr>
        <a:xfrm>
          <a:off x="3750733" y="2167466"/>
          <a:ext cx="22352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34495E"/>
              </a:solidFill>
              <a:effectLst/>
              <a:latin typeface="+mn-lt"/>
              <a:ea typeface="+mn-ea"/>
              <a:cs typeface="+mn-cs"/>
            </a:rPr>
            <a:t>Blood Pressure Control Status</a:t>
          </a:r>
          <a:endParaRPr lang="en-US" sz="1200" b="1">
            <a:solidFill>
              <a:srgbClr val="34495E"/>
            </a:solidFill>
            <a:effectLst/>
          </a:endParaRPr>
        </a:p>
        <a:p>
          <a:endParaRPr lang="en-US" sz="1100"/>
        </a:p>
      </xdr:txBody>
    </xdr:sp>
    <xdr:clientData/>
  </xdr:twoCellAnchor>
  <xdr:twoCellAnchor>
    <xdr:from>
      <xdr:col>6</xdr:col>
      <xdr:colOff>93132</xdr:colOff>
      <xdr:row>26</xdr:row>
      <xdr:rowOff>67734</xdr:rowOff>
    </xdr:from>
    <xdr:to>
      <xdr:col>11</xdr:col>
      <xdr:colOff>237066</xdr:colOff>
      <xdr:row>28</xdr:row>
      <xdr:rowOff>16934</xdr:rowOff>
    </xdr:to>
    <xdr:sp macro="" textlink="">
      <xdr:nvSpPr>
        <xdr:cNvPr id="33" name="TextBox 32">
          <a:extLst>
            <a:ext uri="{FF2B5EF4-FFF2-40B4-BE49-F238E27FC236}">
              <a16:creationId xmlns:a16="http://schemas.microsoft.com/office/drawing/2014/main" id="{E1A0DCCC-264C-D683-65DF-510996C69787}"/>
            </a:ext>
          </a:extLst>
        </xdr:cNvPr>
        <xdr:cNvSpPr txBox="1"/>
      </xdr:nvSpPr>
      <xdr:spPr>
        <a:xfrm>
          <a:off x="3750732" y="4910667"/>
          <a:ext cx="3191934" cy="321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34495E"/>
              </a:solidFill>
              <a:effectLst/>
              <a:latin typeface="+mn-lt"/>
              <a:ea typeface="+mn-ea"/>
              <a:cs typeface="+mn-cs"/>
            </a:rPr>
            <a:t>Effectiveness of Antihypertensive Drug Classes</a:t>
          </a:r>
          <a:endParaRPr lang="en-US" sz="1200">
            <a:solidFill>
              <a:srgbClr val="34495E"/>
            </a:solidFill>
            <a:effectLst/>
          </a:endParaRPr>
        </a:p>
        <a:p>
          <a:endParaRPr lang="en-US" sz="1100"/>
        </a:p>
      </xdr:txBody>
    </xdr:sp>
    <xdr:clientData/>
  </xdr:twoCellAnchor>
  <xdr:twoCellAnchor>
    <xdr:from>
      <xdr:col>14</xdr:col>
      <xdr:colOff>397934</xdr:colOff>
      <xdr:row>11</xdr:row>
      <xdr:rowOff>118533</xdr:rowOff>
    </xdr:from>
    <xdr:to>
      <xdr:col>19</xdr:col>
      <xdr:colOff>491067</xdr:colOff>
      <xdr:row>12</xdr:row>
      <xdr:rowOff>160866</xdr:rowOff>
    </xdr:to>
    <xdr:sp macro="" textlink="">
      <xdr:nvSpPr>
        <xdr:cNvPr id="34" name="TextBox 33">
          <a:extLst>
            <a:ext uri="{FF2B5EF4-FFF2-40B4-BE49-F238E27FC236}">
              <a16:creationId xmlns:a16="http://schemas.microsoft.com/office/drawing/2014/main" id="{18FAA11E-1D8A-CB68-8F9A-B85DFE355D31}"/>
            </a:ext>
          </a:extLst>
        </xdr:cNvPr>
        <xdr:cNvSpPr txBox="1"/>
      </xdr:nvSpPr>
      <xdr:spPr>
        <a:xfrm>
          <a:off x="8932334" y="2167466"/>
          <a:ext cx="3141133"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34495E"/>
              </a:solidFill>
              <a:effectLst/>
              <a:latin typeface="+mn-lt"/>
              <a:ea typeface="+mn-ea"/>
              <a:cs typeface="+mn-cs"/>
            </a:rPr>
            <a:t>Effect of Medication Adherence on BP Control</a:t>
          </a:r>
          <a:endParaRPr lang="en-US" sz="1200" b="1">
            <a:solidFill>
              <a:srgbClr val="34495E"/>
            </a:solidFill>
            <a:effectLst/>
          </a:endParaRPr>
        </a:p>
        <a:p>
          <a:endParaRPr lang="en-US" sz="1100"/>
        </a:p>
      </xdr:txBody>
    </xdr:sp>
    <xdr:clientData/>
  </xdr:twoCellAnchor>
  <xdr:twoCellAnchor>
    <xdr:from>
      <xdr:col>18</xdr:col>
      <xdr:colOff>280307</xdr:colOff>
      <xdr:row>5</xdr:row>
      <xdr:rowOff>60173</xdr:rowOff>
    </xdr:from>
    <xdr:to>
      <xdr:col>22</xdr:col>
      <xdr:colOff>254000</xdr:colOff>
      <xdr:row>10</xdr:row>
      <xdr:rowOff>127000</xdr:rowOff>
    </xdr:to>
    <xdr:sp macro="" textlink="">
      <xdr:nvSpPr>
        <xdr:cNvPr id="35" name="Rectangle: Rounded Corners 34">
          <a:extLst>
            <a:ext uri="{FF2B5EF4-FFF2-40B4-BE49-F238E27FC236}">
              <a16:creationId xmlns:a16="http://schemas.microsoft.com/office/drawing/2014/main" id="{A784D8E6-EB43-CBFF-8383-9A9B7D61D402}"/>
            </a:ext>
          </a:extLst>
        </xdr:cNvPr>
        <xdr:cNvSpPr/>
      </xdr:nvSpPr>
      <xdr:spPr>
        <a:xfrm>
          <a:off x="11253107" y="991506"/>
          <a:ext cx="2412093" cy="998161"/>
        </a:xfrm>
        <a:prstGeom prst="roundRect">
          <a:avLst/>
        </a:prstGeom>
        <a:solidFill>
          <a:srgbClr val="34495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19</xdr:col>
      <xdr:colOff>8467</xdr:colOff>
      <xdr:row>5</xdr:row>
      <xdr:rowOff>48077</xdr:rowOff>
    </xdr:from>
    <xdr:to>
      <xdr:col>22</xdr:col>
      <xdr:colOff>254000</xdr:colOff>
      <xdr:row>7</xdr:row>
      <xdr:rowOff>31142</xdr:rowOff>
    </xdr:to>
    <xdr:sp macro="" textlink="">
      <xdr:nvSpPr>
        <xdr:cNvPr id="36" name="TextBox 35">
          <a:extLst>
            <a:ext uri="{FF2B5EF4-FFF2-40B4-BE49-F238E27FC236}">
              <a16:creationId xmlns:a16="http://schemas.microsoft.com/office/drawing/2014/main" id="{CA3844FA-26A7-78BA-3DE5-E0222DEED4D7}"/>
            </a:ext>
          </a:extLst>
        </xdr:cNvPr>
        <xdr:cNvSpPr txBox="1"/>
      </xdr:nvSpPr>
      <xdr:spPr>
        <a:xfrm>
          <a:off x="11590867" y="979410"/>
          <a:ext cx="20743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Top Performing Drug</a:t>
          </a:r>
        </a:p>
      </xdr:txBody>
    </xdr:sp>
    <xdr:clientData/>
  </xdr:twoCellAnchor>
  <xdr:twoCellAnchor>
    <xdr:from>
      <xdr:col>19</xdr:col>
      <xdr:colOff>59267</xdr:colOff>
      <xdr:row>7</xdr:row>
      <xdr:rowOff>156331</xdr:rowOff>
    </xdr:from>
    <xdr:to>
      <xdr:col>20</xdr:col>
      <xdr:colOff>448732</xdr:colOff>
      <xdr:row>9</xdr:row>
      <xdr:rowOff>110067</xdr:rowOff>
    </xdr:to>
    <xdr:sp macro="" textlink="Analysis!$B$12">
      <xdr:nvSpPr>
        <xdr:cNvPr id="37" name="TextBox 36">
          <a:extLst>
            <a:ext uri="{FF2B5EF4-FFF2-40B4-BE49-F238E27FC236}">
              <a16:creationId xmlns:a16="http://schemas.microsoft.com/office/drawing/2014/main" id="{839E1356-C3A2-F959-8A61-AD4C6D66C5BF}"/>
            </a:ext>
          </a:extLst>
        </xdr:cNvPr>
        <xdr:cNvSpPr txBox="1"/>
      </xdr:nvSpPr>
      <xdr:spPr>
        <a:xfrm>
          <a:off x="11641667" y="1460198"/>
          <a:ext cx="999065" cy="326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AECA7F-6ED2-45D5-8311-8F3AC04A4C2E}" type="TxLink">
            <a:rPr lang="en-US" sz="2000" b="1" i="0" u="none" strike="noStrike">
              <a:solidFill>
                <a:schemeClr val="bg1"/>
              </a:solidFill>
              <a:latin typeface="Aptos Narrow"/>
              <a:ea typeface="+mn-ea"/>
              <a:cs typeface="+mn-cs"/>
            </a:rPr>
            <a:pPr marL="0" indent="0" algn="ctr"/>
            <a:t>21.05%</a:t>
          </a:fld>
          <a:r>
            <a:rPr lang="en-US" sz="2000" b="1" i="0" u="none" strike="noStrike">
              <a:solidFill>
                <a:schemeClr val="bg1"/>
              </a:solidFill>
              <a:latin typeface="Aptos Narrow"/>
              <a:ea typeface="+mn-ea"/>
              <a:cs typeface="+mn-cs"/>
            </a:rPr>
            <a:t>   </a:t>
          </a:r>
        </a:p>
      </xdr:txBody>
    </xdr:sp>
    <xdr:clientData/>
  </xdr:twoCellAnchor>
  <xdr:twoCellAnchor>
    <xdr:from>
      <xdr:col>22</xdr:col>
      <xdr:colOff>457200</xdr:colOff>
      <xdr:row>25</xdr:row>
      <xdr:rowOff>160864</xdr:rowOff>
    </xdr:from>
    <xdr:to>
      <xdr:col>27</xdr:col>
      <xdr:colOff>423333</xdr:colOff>
      <xdr:row>39</xdr:row>
      <xdr:rowOff>76875</xdr:rowOff>
    </xdr:to>
    <xdr:sp macro="" textlink="">
      <xdr:nvSpPr>
        <xdr:cNvPr id="42" name="Rectangle: Rounded Corners 41">
          <a:extLst>
            <a:ext uri="{FF2B5EF4-FFF2-40B4-BE49-F238E27FC236}">
              <a16:creationId xmlns:a16="http://schemas.microsoft.com/office/drawing/2014/main" id="{FB2D3695-5FF5-9251-623B-897E59D09487}"/>
            </a:ext>
          </a:extLst>
        </xdr:cNvPr>
        <xdr:cNvSpPr/>
      </xdr:nvSpPr>
      <xdr:spPr>
        <a:xfrm>
          <a:off x="13868400" y="4817531"/>
          <a:ext cx="3014133" cy="252374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372533</xdr:colOff>
      <xdr:row>26</xdr:row>
      <xdr:rowOff>93135</xdr:rowOff>
    </xdr:from>
    <xdr:to>
      <xdr:col>27</xdr:col>
      <xdr:colOff>474133</xdr:colOff>
      <xdr:row>40</xdr:row>
      <xdr:rowOff>42335</xdr:rowOff>
    </xdr:to>
    <xdr:sp macro="" textlink="">
      <xdr:nvSpPr>
        <xdr:cNvPr id="43" name="TextBox 42">
          <a:extLst>
            <a:ext uri="{FF2B5EF4-FFF2-40B4-BE49-F238E27FC236}">
              <a16:creationId xmlns:a16="http://schemas.microsoft.com/office/drawing/2014/main" id="{CB202FFF-BB99-A934-2E0F-A174243D54EB}"/>
            </a:ext>
          </a:extLst>
        </xdr:cNvPr>
        <xdr:cNvSpPr txBox="1"/>
      </xdr:nvSpPr>
      <xdr:spPr>
        <a:xfrm>
          <a:off x="13783733" y="4936068"/>
          <a:ext cx="3149600" cy="255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505050"/>
              </a:solidFill>
            </a:rPr>
            <a:t>💡</a:t>
          </a:r>
          <a:r>
            <a:rPr lang="en-US" sz="1800" b="1">
              <a:solidFill>
                <a:srgbClr val="34495E"/>
              </a:solidFill>
            </a:rPr>
            <a:t>  </a:t>
          </a:r>
          <a:r>
            <a:rPr lang="en-US" sz="1600" b="1">
              <a:solidFill>
                <a:srgbClr val="34495E"/>
              </a:solidFill>
              <a:effectLst/>
              <a:latin typeface="+mn-lt"/>
              <a:ea typeface="+mn-ea"/>
              <a:cs typeface="+mn-cs"/>
            </a:rPr>
            <a:t>Key Insight </a:t>
          </a:r>
          <a:r>
            <a:rPr lang="en-US" sz="1600" b="1">
              <a:solidFill>
                <a:srgbClr val="34495E"/>
              </a:solidFill>
            </a:rPr>
            <a:t>    </a:t>
          </a:r>
        </a:p>
        <a:p>
          <a:pPr algn="ctr"/>
          <a:r>
            <a:rPr lang="en-US" sz="1600" b="1">
              <a:solidFill>
                <a:srgbClr val="34495E"/>
              </a:solidFill>
            </a:rPr>
            <a:t>      </a:t>
          </a:r>
        </a:p>
        <a:p>
          <a:pPr lvl="0"/>
          <a:r>
            <a:rPr lang="en-US" sz="1400" b="1">
              <a:solidFill>
                <a:schemeClr val="tx1"/>
              </a:solidFill>
            </a:rPr>
            <a:t>    </a:t>
          </a:r>
          <a:r>
            <a:rPr lang="en-US" sz="900" b="1">
              <a:solidFill>
                <a:schemeClr val="tx1"/>
              </a:solidFill>
            </a:rPr>
            <a:t>✅</a:t>
          </a:r>
          <a:r>
            <a:rPr lang="en-US" sz="1400" b="0">
              <a:solidFill>
                <a:schemeClr val="tx1"/>
              </a:solidFill>
            </a:rPr>
            <a:t> </a:t>
          </a:r>
          <a:r>
            <a:rPr lang="en-US" sz="1800" b="1">
              <a:solidFill>
                <a:schemeClr val="tx1"/>
              </a:solidFill>
            </a:rPr>
            <a:t>  </a:t>
          </a:r>
          <a:r>
            <a:rPr lang="en-US" sz="1400" b="1">
              <a:solidFill>
                <a:schemeClr val="tx1"/>
              </a:solidFill>
            </a:rPr>
            <a:t> </a:t>
          </a:r>
          <a:r>
            <a:rPr lang="en-US" b="1"/>
            <a:t>Only 9.4% of patients achieved BP control.</a:t>
          </a:r>
          <a:endParaRPr lang="en-US" sz="1100" b="1">
            <a:solidFill>
              <a:srgbClr val="505050"/>
            </a:solidFill>
          </a:endParaRPr>
        </a:p>
        <a:p>
          <a:pPr lvl="0"/>
          <a:endParaRPr lang="en-US" sz="1200" b="1">
            <a:solidFill>
              <a:srgbClr val="505050"/>
            </a:solidFill>
          </a:endParaRPr>
        </a:p>
        <a:p>
          <a:pPr lvl="0"/>
          <a:r>
            <a:rPr lang="en-US" sz="1600" b="1">
              <a:solidFill>
                <a:srgbClr val="505050"/>
              </a:solidFill>
            </a:rPr>
            <a:t>    </a:t>
          </a:r>
          <a:r>
            <a:rPr lang="en-US" sz="900" b="1">
              <a:solidFill>
                <a:srgbClr val="505050"/>
              </a:solidFill>
            </a:rPr>
            <a:t>💊</a:t>
          </a:r>
          <a:r>
            <a:rPr lang="en-US" sz="1600" b="1">
              <a:solidFill>
                <a:srgbClr val="505050"/>
              </a:solidFill>
            </a:rPr>
            <a:t>  </a:t>
          </a:r>
          <a:r>
            <a:rPr lang="en-US" sz="1100" b="1">
              <a:solidFill>
                <a:srgbClr val="505050"/>
              </a:solidFill>
            </a:rPr>
            <a:t>  </a:t>
          </a:r>
          <a:r>
            <a:rPr lang="en-US" b="1"/>
            <a:t>Combination Therapy recorded the highest</a:t>
          </a:r>
        </a:p>
        <a:p>
          <a:pPr marL="0" marR="0" lvl="0" indent="0" defTabSz="914400" eaLnBrk="1" fontAlgn="auto" latinLnBrk="0" hangingPunct="1">
            <a:lnSpc>
              <a:spcPct val="100000"/>
            </a:lnSpc>
            <a:spcBef>
              <a:spcPts val="0"/>
            </a:spcBef>
            <a:spcAft>
              <a:spcPts val="0"/>
            </a:spcAft>
            <a:buClrTx/>
            <a:buSzTx/>
            <a:buFontTx/>
            <a:buNone/>
            <a:tabLst/>
            <a:defRPr/>
          </a:pPr>
          <a:r>
            <a:rPr lang="en-US" b="1"/>
            <a:t>                   </a:t>
          </a:r>
          <a:r>
            <a:rPr lang="en-US" sz="1100" b="1">
              <a:solidFill>
                <a:schemeClr val="dk1"/>
              </a:solidFill>
              <a:effectLst/>
              <a:latin typeface="+mn-lt"/>
              <a:ea typeface="+mn-ea"/>
              <a:cs typeface="+mn-cs"/>
            </a:rPr>
            <a:t>control rate.</a:t>
          </a:r>
          <a:endParaRPr lang="en-US" b="1">
            <a:effectLst/>
          </a:endParaRPr>
        </a:p>
        <a:p>
          <a:pPr lvl="0"/>
          <a:r>
            <a:rPr lang="en-US" b="1"/>
            <a:t>      </a:t>
          </a:r>
          <a:r>
            <a:rPr lang="en-US" sz="900" b="1">
              <a:solidFill>
                <a:srgbClr val="505050"/>
              </a:solidFill>
            </a:rPr>
            <a:t>🚨</a:t>
          </a:r>
          <a:r>
            <a:rPr lang="en-US" sz="1600" b="1">
              <a:solidFill>
                <a:srgbClr val="505050"/>
              </a:solidFill>
            </a:rPr>
            <a:t>   </a:t>
          </a:r>
          <a:r>
            <a:rPr lang="en-US" b="1"/>
            <a:t>Patients with poor medication adherence</a:t>
          </a:r>
        </a:p>
        <a:p>
          <a:pPr lvl="0"/>
          <a:r>
            <a:rPr lang="en-US" b="1" baseline="0"/>
            <a:t>               </a:t>
          </a:r>
          <a:r>
            <a:rPr lang="en-US" b="1"/>
            <a:t> had the lowest BP control rates.</a:t>
          </a:r>
          <a:endParaRPr lang="en-US" sz="1100" b="1"/>
        </a:p>
      </xdr:txBody>
    </xdr:sp>
    <xdr:clientData/>
  </xdr:twoCellAnchor>
  <xdr:twoCellAnchor>
    <xdr:from>
      <xdr:col>14</xdr:col>
      <xdr:colOff>321733</xdr:colOff>
      <xdr:row>6</xdr:row>
      <xdr:rowOff>8467</xdr:rowOff>
    </xdr:from>
    <xdr:to>
      <xdr:col>15</xdr:col>
      <xdr:colOff>406399</xdr:colOff>
      <xdr:row>10</xdr:row>
      <xdr:rowOff>16933</xdr:rowOff>
    </xdr:to>
    <xdr:sp macro="" textlink="">
      <xdr:nvSpPr>
        <xdr:cNvPr id="47" name="TextBox 46">
          <a:extLst>
            <a:ext uri="{FF2B5EF4-FFF2-40B4-BE49-F238E27FC236}">
              <a16:creationId xmlns:a16="http://schemas.microsoft.com/office/drawing/2014/main" id="{38164785-BBCA-F51B-2EDC-EDC37E46B5ED}"/>
            </a:ext>
          </a:extLst>
        </xdr:cNvPr>
        <xdr:cNvSpPr txBox="1"/>
      </xdr:nvSpPr>
      <xdr:spPr>
        <a:xfrm>
          <a:off x="8856133" y="1126067"/>
          <a:ext cx="694266" cy="7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3600"/>
        </a:p>
      </xdr:txBody>
    </xdr:sp>
    <xdr:clientData/>
  </xdr:twoCellAnchor>
  <xdr:twoCellAnchor>
    <xdr:from>
      <xdr:col>18</xdr:col>
      <xdr:colOff>143931</xdr:colOff>
      <xdr:row>5</xdr:row>
      <xdr:rowOff>177799</xdr:rowOff>
    </xdr:from>
    <xdr:to>
      <xdr:col>19</xdr:col>
      <xdr:colOff>270931</xdr:colOff>
      <xdr:row>9</xdr:row>
      <xdr:rowOff>84666</xdr:rowOff>
    </xdr:to>
    <xdr:sp macro="" textlink="">
      <xdr:nvSpPr>
        <xdr:cNvPr id="49" name="TextBox 48">
          <a:extLst>
            <a:ext uri="{FF2B5EF4-FFF2-40B4-BE49-F238E27FC236}">
              <a16:creationId xmlns:a16="http://schemas.microsoft.com/office/drawing/2014/main" id="{3D74B30A-330E-EC50-D53A-F2E3088C8DA4}"/>
            </a:ext>
          </a:extLst>
        </xdr:cNvPr>
        <xdr:cNvSpPr txBox="1"/>
      </xdr:nvSpPr>
      <xdr:spPr>
        <a:xfrm rot="2592146">
          <a:off x="11116731" y="1109132"/>
          <a:ext cx="736600" cy="65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t>💊</a:t>
          </a:r>
        </a:p>
      </xdr:txBody>
    </xdr:sp>
    <xdr:clientData/>
  </xdr:twoCellAnchor>
  <xdr:twoCellAnchor editAs="oneCell">
    <xdr:from>
      <xdr:col>6</xdr:col>
      <xdr:colOff>42338</xdr:colOff>
      <xdr:row>6</xdr:row>
      <xdr:rowOff>101600</xdr:rowOff>
    </xdr:from>
    <xdr:to>
      <xdr:col>6</xdr:col>
      <xdr:colOff>550337</xdr:colOff>
      <xdr:row>9</xdr:row>
      <xdr:rowOff>50799</xdr:rowOff>
    </xdr:to>
    <xdr:pic>
      <xdr:nvPicPr>
        <xdr:cNvPr id="51" name="Graphic 50" descr="Hospital outline">
          <a:extLst>
            <a:ext uri="{FF2B5EF4-FFF2-40B4-BE49-F238E27FC236}">
              <a16:creationId xmlns:a16="http://schemas.microsoft.com/office/drawing/2014/main" id="{E498D4A5-D7DF-0C26-29E5-137DF41C0D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699938" y="1219200"/>
          <a:ext cx="507999" cy="507999"/>
        </a:xfrm>
        <a:prstGeom prst="rect">
          <a:avLst/>
        </a:prstGeom>
      </xdr:spPr>
    </xdr:pic>
    <xdr:clientData/>
  </xdr:twoCellAnchor>
  <xdr:twoCellAnchor editAs="oneCell">
    <xdr:from>
      <xdr:col>14</xdr:col>
      <xdr:colOff>347137</xdr:colOff>
      <xdr:row>6</xdr:row>
      <xdr:rowOff>101600</xdr:rowOff>
    </xdr:from>
    <xdr:to>
      <xdr:col>15</xdr:col>
      <xdr:colOff>249601</xdr:colOff>
      <xdr:row>9</xdr:row>
      <xdr:rowOff>54864</xdr:rowOff>
    </xdr:to>
    <xdr:pic>
      <xdr:nvPicPr>
        <xdr:cNvPr id="3077" name="Graphic 3076" descr="High voltage outline">
          <a:extLst>
            <a:ext uri="{FF2B5EF4-FFF2-40B4-BE49-F238E27FC236}">
              <a16:creationId xmlns:a16="http://schemas.microsoft.com/office/drawing/2014/main" id="{F4203D54-5B3F-45A3-AB67-E29625AD73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881537" y="1219200"/>
          <a:ext cx="512064" cy="512064"/>
        </a:xfrm>
        <a:prstGeom prst="rect">
          <a:avLst/>
        </a:prstGeom>
      </xdr:spPr>
    </xdr:pic>
    <xdr:clientData/>
  </xdr:twoCellAnchor>
  <xdr:twoCellAnchor editAs="oneCell">
    <xdr:from>
      <xdr:col>10</xdr:col>
      <xdr:colOff>192705</xdr:colOff>
      <xdr:row>6</xdr:row>
      <xdr:rowOff>101600</xdr:rowOff>
    </xdr:from>
    <xdr:to>
      <xdr:col>11</xdr:col>
      <xdr:colOff>95169</xdr:colOff>
      <xdr:row>8</xdr:row>
      <xdr:rowOff>173358</xdr:rowOff>
    </xdr:to>
    <xdr:pic>
      <xdr:nvPicPr>
        <xdr:cNvPr id="3079" name="Graphic 3078" descr="Bar graph with upward trend outline">
          <a:extLst>
            <a:ext uri="{FF2B5EF4-FFF2-40B4-BE49-F238E27FC236}">
              <a16:creationId xmlns:a16="http://schemas.microsoft.com/office/drawing/2014/main" id="{D7B0AAFD-3087-634D-68DB-31D2F63B9E9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288705" y="1219200"/>
          <a:ext cx="512064" cy="444291"/>
        </a:xfrm>
        <a:prstGeom prst="rect">
          <a:avLst/>
        </a:prstGeom>
      </xdr:spPr>
    </xdr:pic>
    <xdr:clientData/>
  </xdr:twoCellAnchor>
  <xdr:oneCellAnchor>
    <xdr:from>
      <xdr:col>22</xdr:col>
      <xdr:colOff>584200</xdr:colOff>
      <xdr:row>5</xdr:row>
      <xdr:rowOff>76200</xdr:rowOff>
    </xdr:from>
    <xdr:ext cx="184731" cy="264560"/>
    <xdr:sp macro="" textlink="">
      <xdr:nvSpPr>
        <xdr:cNvPr id="3084" name="TextBox 3083">
          <a:extLst>
            <a:ext uri="{FF2B5EF4-FFF2-40B4-BE49-F238E27FC236}">
              <a16:creationId xmlns:a16="http://schemas.microsoft.com/office/drawing/2014/main" id="{C335B28E-9754-764C-88DF-1F8389D8B7E5}"/>
            </a:ext>
          </a:extLst>
        </xdr:cNvPr>
        <xdr:cNvSpPr txBox="1"/>
      </xdr:nvSpPr>
      <xdr:spPr>
        <a:xfrm>
          <a:off x="13995400" y="10075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592667</xdr:colOff>
      <xdr:row>29</xdr:row>
      <xdr:rowOff>127000</xdr:rowOff>
    </xdr:from>
    <xdr:to>
      <xdr:col>4</xdr:col>
      <xdr:colOff>592667</xdr:colOff>
      <xdr:row>34</xdr:row>
      <xdr:rowOff>110066</xdr:rowOff>
    </xdr:to>
    <xdr:sp macro="" textlink="">
      <xdr:nvSpPr>
        <xdr:cNvPr id="3089" name="Rectangle: Rounded Corners 3088">
          <a:extLst>
            <a:ext uri="{FF2B5EF4-FFF2-40B4-BE49-F238E27FC236}">
              <a16:creationId xmlns:a16="http://schemas.microsoft.com/office/drawing/2014/main" id="{F9FBD0C5-3E86-D947-F067-C4B6FAE47C20}"/>
            </a:ext>
          </a:extLst>
        </xdr:cNvPr>
        <xdr:cNvSpPr/>
      </xdr:nvSpPr>
      <xdr:spPr>
        <a:xfrm>
          <a:off x="1202267" y="5528733"/>
          <a:ext cx="1828800" cy="914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406404</xdr:colOff>
      <xdr:row>28</xdr:row>
      <xdr:rowOff>76202</xdr:rowOff>
    </xdr:from>
    <xdr:to>
      <xdr:col>26</xdr:col>
      <xdr:colOff>186271</xdr:colOff>
      <xdr:row>28</xdr:row>
      <xdr:rowOff>76202</xdr:rowOff>
    </xdr:to>
    <xdr:cxnSp macro="">
      <xdr:nvCxnSpPr>
        <xdr:cNvPr id="3097" name="Straight Connector 3096">
          <a:extLst>
            <a:ext uri="{FF2B5EF4-FFF2-40B4-BE49-F238E27FC236}">
              <a16:creationId xmlns:a16="http://schemas.microsoft.com/office/drawing/2014/main" id="{9B06EA3D-E73F-C4C5-9572-D9CBCCB9DAF1}"/>
            </a:ext>
          </a:extLst>
        </xdr:cNvPr>
        <xdr:cNvCxnSpPr/>
      </xdr:nvCxnSpPr>
      <xdr:spPr>
        <a:xfrm>
          <a:off x="15036804" y="5291669"/>
          <a:ext cx="999067" cy="0"/>
        </a:xfrm>
        <a:prstGeom prst="line">
          <a:avLst/>
        </a:prstGeom>
        <a:ln w="28575"/>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457200</xdr:colOff>
      <xdr:row>34</xdr:row>
      <xdr:rowOff>8467</xdr:rowOff>
    </xdr:from>
    <xdr:to>
      <xdr:col>5</xdr:col>
      <xdr:colOff>110065</xdr:colOff>
      <xdr:row>38</xdr:row>
      <xdr:rowOff>177801</xdr:rowOff>
    </xdr:to>
    <xdr:sp macro="" textlink="">
      <xdr:nvSpPr>
        <xdr:cNvPr id="4" name="Rectangle 3">
          <a:extLst>
            <a:ext uri="{FF2B5EF4-FFF2-40B4-BE49-F238E27FC236}">
              <a16:creationId xmlns:a16="http://schemas.microsoft.com/office/drawing/2014/main" id="{A75FFB59-3AAC-FE3E-1825-A88426570C2F}"/>
            </a:ext>
          </a:extLst>
        </xdr:cNvPr>
        <xdr:cNvSpPr/>
      </xdr:nvSpPr>
      <xdr:spPr>
        <a:xfrm>
          <a:off x="1066800" y="6341534"/>
          <a:ext cx="2091265" cy="914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355605</xdr:colOff>
      <xdr:row>35</xdr:row>
      <xdr:rowOff>118534</xdr:rowOff>
    </xdr:from>
    <xdr:to>
      <xdr:col>3</xdr:col>
      <xdr:colOff>135473</xdr:colOff>
      <xdr:row>37</xdr:row>
      <xdr:rowOff>143933</xdr:rowOff>
    </xdr:to>
    <xdr:sp macro="" textlink="">
      <xdr:nvSpPr>
        <xdr:cNvPr id="7" name="Oval 6">
          <a:extLst>
            <a:ext uri="{FF2B5EF4-FFF2-40B4-BE49-F238E27FC236}">
              <a16:creationId xmlns:a16="http://schemas.microsoft.com/office/drawing/2014/main" id="{51A59834-6C67-3829-CAED-AC7D79B0B6D0}"/>
            </a:ext>
          </a:extLst>
        </xdr:cNvPr>
        <xdr:cNvSpPr/>
      </xdr:nvSpPr>
      <xdr:spPr>
        <a:xfrm>
          <a:off x="1574805" y="6637867"/>
          <a:ext cx="389468" cy="397933"/>
        </a:xfrm>
        <a:prstGeom prst="ellipse">
          <a:avLst/>
        </a:prstGeom>
        <a:solidFill>
          <a:srgbClr val="1F4E79">
            <a:alpha val="2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F4E79"/>
            </a:solidFill>
          </a:endParaRPr>
        </a:p>
      </xdr:txBody>
    </xdr:sp>
    <xdr:clientData/>
  </xdr:twoCellAnchor>
  <xdr:twoCellAnchor editAs="oneCell">
    <xdr:from>
      <xdr:col>2</xdr:col>
      <xdr:colOff>422282</xdr:colOff>
      <xdr:row>35</xdr:row>
      <xdr:rowOff>143938</xdr:rowOff>
    </xdr:from>
    <xdr:to>
      <xdr:col>3</xdr:col>
      <xdr:colOff>100550</xdr:colOff>
      <xdr:row>37</xdr:row>
      <xdr:rowOff>59272</xdr:rowOff>
    </xdr:to>
    <xdr:pic>
      <xdr:nvPicPr>
        <xdr:cNvPr id="3088" name="Picture 3087">
          <a:extLst>
            <a:ext uri="{FF2B5EF4-FFF2-40B4-BE49-F238E27FC236}">
              <a16:creationId xmlns:a16="http://schemas.microsoft.com/office/drawing/2014/main" id="{6F535381-B213-0F7F-FD22-A607FE3121F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41482" y="6663271"/>
          <a:ext cx="287868" cy="287868"/>
        </a:xfrm>
        <a:prstGeom prst="rect">
          <a:avLst/>
        </a:prstGeom>
      </xdr:spPr>
    </xdr:pic>
    <xdr:clientData/>
  </xdr:twoCellAnchor>
  <xdr:twoCellAnchor>
    <xdr:from>
      <xdr:col>2</xdr:col>
      <xdr:colOff>499534</xdr:colOff>
      <xdr:row>34</xdr:row>
      <xdr:rowOff>59274</xdr:rowOff>
    </xdr:from>
    <xdr:to>
      <xdr:col>5</xdr:col>
      <xdr:colOff>279402</xdr:colOff>
      <xdr:row>35</xdr:row>
      <xdr:rowOff>110067</xdr:rowOff>
    </xdr:to>
    <xdr:sp macro="" textlink="">
      <xdr:nvSpPr>
        <xdr:cNvPr id="3092" name="TextBox 3091">
          <a:extLst>
            <a:ext uri="{FF2B5EF4-FFF2-40B4-BE49-F238E27FC236}">
              <a16:creationId xmlns:a16="http://schemas.microsoft.com/office/drawing/2014/main" id="{D6425690-0F79-587E-EF83-5A49E105C7AE}"/>
            </a:ext>
          </a:extLst>
        </xdr:cNvPr>
        <xdr:cNvSpPr txBox="1"/>
      </xdr:nvSpPr>
      <xdr:spPr>
        <a:xfrm>
          <a:off x="1718734" y="6392341"/>
          <a:ext cx="1608668" cy="23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          </a:t>
          </a:r>
          <a:r>
            <a:rPr lang="en-US" sz="1200" b="1">
              <a:solidFill>
                <a:srgbClr val="34495E"/>
              </a:solidFill>
            </a:rPr>
            <a:t>Prepared By:</a:t>
          </a:r>
          <a:endParaRPr lang="en-US" sz="1100" b="1">
            <a:solidFill>
              <a:srgbClr val="34495E"/>
            </a:solidFill>
          </a:endParaRPr>
        </a:p>
      </xdr:txBody>
    </xdr:sp>
    <xdr:clientData/>
  </xdr:twoCellAnchor>
  <xdr:twoCellAnchor>
    <xdr:from>
      <xdr:col>3</xdr:col>
      <xdr:colOff>211667</xdr:colOff>
      <xdr:row>35</xdr:row>
      <xdr:rowOff>110067</xdr:rowOff>
    </xdr:from>
    <xdr:to>
      <xdr:col>4</xdr:col>
      <xdr:colOff>440267</xdr:colOff>
      <xdr:row>35</xdr:row>
      <xdr:rowOff>110067</xdr:rowOff>
    </xdr:to>
    <xdr:cxnSp macro="">
      <xdr:nvCxnSpPr>
        <xdr:cNvPr id="3094" name="Straight Connector 3093">
          <a:extLst>
            <a:ext uri="{FF2B5EF4-FFF2-40B4-BE49-F238E27FC236}">
              <a16:creationId xmlns:a16="http://schemas.microsoft.com/office/drawing/2014/main" id="{53DDC99D-D4F7-7745-7AF1-901676DAB0B9}"/>
            </a:ext>
          </a:extLst>
        </xdr:cNvPr>
        <xdr:cNvCxnSpPr/>
      </xdr:nvCxnSpPr>
      <xdr:spPr>
        <a:xfrm>
          <a:off x="2040467" y="6629400"/>
          <a:ext cx="838200" cy="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431800</xdr:colOff>
      <xdr:row>36</xdr:row>
      <xdr:rowOff>93136</xdr:rowOff>
    </xdr:from>
    <xdr:to>
      <xdr:col>4</xdr:col>
      <xdr:colOff>575734</xdr:colOff>
      <xdr:row>37</xdr:row>
      <xdr:rowOff>169333</xdr:rowOff>
    </xdr:to>
    <xdr:sp macro="" textlink="">
      <xdr:nvSpPr>
        <xdr:cNvPr id="3091" name="TextBox 3090">
          <a:extLst>
            <a:ext uri="{FF2B5EF4-FFF2-40B4-BE49-F238E27FC236}">
              <a16:creationId xmlns:a16="http://schemas.microsoft.com/office/drawing/2014/main" id="{65EBAF5D-4187-895B-8A7E-9AA8B64EA220}"/>
            </a:ext>
          </a:extLst>
        </xdr:cNvPr>
        <xdr:cNvSpPr txBox="1"/>
      </xdr:nvSpPr>
      <xdr:spPr>
        <a:xfrm>
          <a:off x="1651000" y="6798736"/>
          <a:ext cx="1363134" cy="262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effectLst/>
              <a:latin typeface="+mn-lt"/>
              <a:ea typeface="+mn-ea"/>
              <a:cs typeface="+mn-cs"/>
            </a:rPr>
            <a:t>          </a:t>
          </a:r>
          <a:r>
            <a:rPr lang="en-US" sz="1200" b="1">
              <a:solidFill>
                <a:srgbClr val="1F4E79"/>
              </a:solidFill>
              <a:effectLst/>
              <a:latin typeface="+mn-lt"/>
              <a:ea typeface="+mn-ea"/>
              <a:cs typeface="+mn-cs"/>
            </a:rPr>
            <a:t>Ijeoma Okeke</a:t>
          </a:r>
          <a:endParaRPr lang="en-US" sz="1200" b="1">
            <a:solidFill>
              <a:srgbClr val="1F4E79"/>
            </a:solidFill>
            <a:effectLst/>
          </a:endParaRPr>
        </a:p>
        <a:p>
          <a:endParaRPr lang="en-US" sz="1100">
            <a:solidFill>
              <a:schemeClr val="bg1"/>
            </a:solidFill>
          </a:endParaRPr>
        </a:p>
      </xdr:txBody>
    </xdr:sp>
    <xdr:clientData/>
  </xdr:twoCellAnchor>
  <xdr:twoCellAnchor>
    <xdr:from>
      <xdr:col>2</xdr:col>
      <xdr:colOff>499531</xdr:colOff>
      <xdr:row>37</xdr:row>
      <xdr:rowOff>93137</xdr:rowOff>
    </xdr:from>
    <xdr:to>
      <xdr:col>5</xdr:col>
      <xdr:colOff>135466</xdr:colOff>
      <xdr:row>39</xdr:row>
      <xdr:rowOff>25399</xdr:rowOff>
    </xdr:to>
    <xdr:sp macro="" textlink="">
      <xdr:nvSpPr>
        <xdr:cNvPr id="3090" name="TextBox 3089">
          <a:extLst>
            <a:ext uri="{FF2B5EF4-FFF2-40B4-BE49-F238E27FC236}">
              <a16:creationId xmlns:a16="http://schemas.microsoft.com/office/drawing/2014/main" id="{E8646FA8-C7E9-324F-2743-A19EC5DC960E}"/>
            </a:ext>
          </a:extLst>
        </xdr:cNvPr>
        <xdr:cNvSpPr txBox="1"/>
      </xdr:nvSpPr>
      <xdr:spPr>
        <a:xfrm>
          <a:off x="1718731" y="6985004"/>
          <a:ext cx="1464735" cy="30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i="1">
              <a:solidFill>
                <a:srgbClr val="1F4E79"/>
              </a:solidFill>
              <a:effectLst/>
              <a:latin typeface="+mn-lt"/>
              <a:ea typeface="+mn-ea"/>
              <a:cs typeface="+mn-cs"/>
            </a:rPr>
            <a:t>Healthcare Data  Analyst</a:t>
          </a:r>
          <a:endParaRPr lang="en-US" sz="1000">
            <a:solidFill>
              <a:srgbClr val="1F4E79"/>
            </a:solidFill>
            <a:effectLst/>
          </a:endParaRPr>
        </a:p>
        <a:p>
          <a:endParaRPr lang="en-US" sz="1100">
            <a:solidFill>
              <a:schemeClr val="bg1"/>
            </a:solidFill>
          </a:endParaRPr>
        </a:p>
      </xdr:txBody>
    </xdr:sp>
    <xdr:clientData/>
  </xdr:twoCellAnchor>
  <xdr:twoCellAnchor>
    <xdr:from>
      <xdr:col>19</xdr:col>
      <xdr:colOff>220134</xdr:colOff>
      <xdr:row>6</xdr:row>
      <xdr:rowOff>141210</xdr:rowOff>
    </xdr:from>
    <xdr:to>
      <xdr:col>21</xdr:col>
      <xdr:colOff>584200</xdr:colOff>
      <xdr:row>8</xdr:row>
      <xdr:rowOff>42334</xdr:rowOff>
    </xdr:to>
    <xdr:sp macro="" textlink="">
      <xdr:nvSpPr>
        <xdr:cNvPr id="11" name="TextBox 10">
          <a:extLst>
            <a:ext uri="{FF2B5EF4-FFF2-40B4-BE49-F238E27FC236}">
              <a16:creationId xmlns:a16="http://schemas.microsoft.com/office/drawing/2014/main" id="{E31FF26B-3E7D-ED15-3856-009D991B8C00}"/>
            </a:ext>
          </a:extLst>
        </xdr:cNvPr>
        <xdr:cNvSpPr txBox="1"/>
      </xdr:nvSpPr>
      <xdr:spPr>
        <a:xfrm>
          <a:off x="11802534" y="1258810"/>
          <a:ext cx="1583266" cy="27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latin typeface="+mn-lt"/>
              <a:ea typeface="+mn-ea"/>
              <a:cs typeface="+mn-cs"/>
            </a:rPr>
            <a:t>Combination Therapy </a:t>
          </a:r>
          <a:endParaRPr lang="en-US" sz="1200" b="1">
            <a:solidFill>
              <a:schemeClr val="bg1"/>
            </a:solidFill>
          </a:endParaRPr>
        </a:p>
      </xdr:txBody>
    </xdr:sp>
    <xdr:clientData/>
  </xdr:twoCellAnchor>
  <xdr:twoCellAnchor>
    <xdr:from>
      <xdr:col>20</xdr:col>
      <xdr:colOff>304799</xdr:colOff>
      <xdr:row>8</xdr:row>
      <xdr:rowOff>5745</xdr:rowOff>
    </xdr:from>
    <xdr:to>
      <xdr:col>22</xdr:col>
      <xdr:colOff>364066</xdr:colOff>
      <xdr:row>9</xdr:row>
      <xdr:rowOff>118534</xdr:rowOff>
    </xdr:to>
    <xdr:sp macro="" textlink="">
      <xdr:nvSpPr>
        <xdr:cNvPr id="12" name="TextBox 11">
          <a:extLst>
            <a:ext uri="{FF2B5EF4-FFF2-40B4-BE49-F238E27FC236}">
              <a16:creationId xmlns:a16="http://schemas.microsoft.com/office/drawing/2014/main" id="{12655E4D-9A03-C8CC-AE39-D58AD716B44E}"/>
            </a:ext>
          </a:extLst>
        </xdr:cNvPr>
        <xdr:cNvSpPr txBox="1"/>
      </xdr:nvSpPr>
      <xdr:spPr>
        <a:xfrm>
          <a:off x="12496799" y="1495878"/>
          <a:ext cx="1278467" cy="299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latin typeface="+mn-lt"/>
              <a:ea typeface="+mn-ea"/>
              <a:cs typeface="+mn-cs"/>
            </a:rPr>
            <a:t>Control Rate</a:t>
          </a:r>
          <a:endParaRPr lang="en-US" sz="1400" b="1">
            <a:solidFill>
              <a:schemeClr val="bg1"/>
            </a:solidFill>
          </a:endParaRPr>
        </a:p>
      </xdr:txBody>
    </xdr:sp>
    <xdr:clientData/>
  </xdr:twoCellAnchor>
  <xdr:twoCellAnchor>
    <xdr:from>
      <xdr:col>22</xdr:col>
      <xdr:colOff>457203</xdr:colOff>
      <xdr:row>7</xdr:row>
      <xdr:rowOff>169334</xdr:rowOff>
    </xdr:from>
    <xdr:to>
      <xdr:col>27</xdr:col>
      <xdr:colOff>457203</xdr:colOff>
      <xdr:row>25</xdr:row>
      <xdr:rowOff>16933</xdr:rowOff>
    </xdr:to>
    <xdr:sp macro="" textlink="">
      <xdr:nvSpPr>
        <xdr:cNvPr id="27" name="Rectangle: Rounded Corners 26">
          <a:extLst>
            <a:ext uri="{FF2B5EF4-FFF2-40B4-BE49-F238E27FC236}">
              <a16:creationId xmlns:a16="http://schemas.microsoft.com/office/drawing/2014/main" id="{7E9318B8-F1D5-83BC-ABDA-E0B31BCBA1DB}"/>
            </a:ext>
          </a:extLst>
        </xdr:cNvPr>
        <xdr:cNvSpPr/>
      </xdr:nvSpPr>
      <xdr:spPr>
        <a:xfrm>
          <a:off x="13868403" y="1473201"/>
          <a:ext cx="3048000" cy="32003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27</xdr:row>
      <xdr:rowOff>177800</xdr:rowOff>
    </xdr:from>
    <xdr:to>
      <xdr:col>22</xdr:col>
      <xdr:colOff>253999</xdr:colOff>
      <xdr:row>39</xdr:row>
      <xdr:rowOff>76199</xdr:rowOff>
    </xdr:to>
    <xdr:graphicFrame macro="">
      <xdr:nvGraphicFramePr>
        <xdr:cNvPr id="29" name="Chart 28">
          <a:extLst>
            <a:ext uri="{FF2B5EF4-FFF2-40B4-BE49-F238E27FC236}">
              <a16:creationId xmlns:a16="http://schemas.microsoft.com/office/drawing/2014/main" id="{4E27E671-3AA5-459E-8260-003BDEEA7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177799</xdr:colOff>
      <xdr:row>8</xdr:row>
      <xdr:rowOff>135468</xdr:rowOff>
    </xdr:from>
    <xdr:to>
      <xdr:col>27</xdr:col>
      <xdr:colOff>491065</xdr:colOff>
      <xdr:row>11</xdr:row>
      <xdr:rowOff>152401</xdr:rowOff>
    </xdr:to>
    <xdr:sp macro="" textlink="">
      <xdr:nvSpPr>
        <xdr:cNvPr id="44" name="TextBox 43">
          <a:extLst>
            <a:ext uri="{FF2B5EF4-FFF2-40B4-BE49-F238E27FC236}">
              <a16:creationId xmlns:a16="http://schemas.microsoft.com/office/drawing/2014/main" id="{25216574-7693-A57A-BC80-DA805E39068E}"/>
            </a:ext>
          </a:extLst>
        </xdr:cNvPr>
        <xdr:cNvSpPr txBox="1"/>
      </xdr:nvSpPr>
      <xdr:spPr>
        <a:xfrm>
          <a:off x="14198599" y="1625601"/>
          <a:ext cx="2751666" cy="575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rgbClr val="34495E"/>
              </a:solidFill>
            </a:rPr>
            <a:t>Average Systolic BP Reduction (mmHg) by Control Status</a:t>
          </a:r>
          <a:endParaRPr lang="en-US" sz="1100" b="1">
            <a:solidFill>
              <a:srgbClr val="34495E"/>
            </a:solidFill>
          </a:endParaRPr>
        </a:p>
      </xdr:txBody>
    </xdr:sp>
    <xdr:clientData/>
  </xdr:twoCellAnchor>
  <xdr:twoCellAnchor>
    <xdr:from>
      <xdr:col>22</xdr:col>
      <xdr:colOff>389467</xdr:colOff>
      <xdr:row>12</xdr:row>
      <xdr:rowOff>50800</xdr:rowOff>
    </xdr:from>
    <xdr:to>
      <xdr:col>27</xdr:col>
      <xdr:colOff>541867</xdr:colOff>
      <xdr:row>24</xdr:row>
      <xdr:rowOff>67734</xdr:rowOff>
    </xdr:to>
    <xdr:graphicFrame macro="">
      <xdr:nvGraphicFramePr>
        <xdr:cNvPr id="6" name="Chart 5">
          <a:extLst>
            <a:ext uri="{FF2B5EF4-FFF2-40B4-BE49-F238E27FC236}">
              <a16:creationId xmlns:a16="http://schemas.microsoft.com/office/drawing/2014/main" id="{286BE69D-15A6-495E-9D86-727F516C0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508001</xdr:colOff>
      <xdr:row>26</xdr:row>
      <xdr:rowOff>67732</xdr:rowOff>
    </xdr:from>
    <xdr:to>
      <xdr:col>19</xdr:col>
      <xdr:colOff>601134</xdr:colOff>
      <xdr:row>27</xdr:row>
      <xdr:rowOff>110065</xdr:rowOff>
    </xdr:to>
    <xdr:sp macro="" textlink="">
      <xdr:nvSpPr>
        <xdr:cNvPr id="38" name="TextBox 37">
          <a:extLst>
            <a:ext uri="{FF2B5EF4-FFF2-40B4-BE49-F238E27FC236}">
              <a16:creationId xmlns:a16="http://schemas.microsoft.com/office/drawing/2014/main" id="{485EF55B-4B7C-5EC5-CA60-35BCE701F9F4}"/>
            </a:ext>
          </a:extLst>
        </xdr:cNvPr>
        <xdr:cNvSpPr txBox="1"/>
      </xdr:nvSpPr>
      <xdr:spPr>
        <a:xfrm>
          <a:off x="9042401" y="4910665"/>
          <a:ext cx="314113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rgbClr val="34495E"/>
              </a:solidFill>
            </a:rPr>
            <a:t>Blood Pressure Control by Age Group</a:t>
          </a:r>
          <a:endParaRPr lang="en-US" sz="1100" b="1">
            <a:solidFill>
              <a:srgbClr val="34495E"/>
            </a:solidFill>
          </a:endParaRPr>
        </a:p>
      </xdr:txBody>
    </xdr:sp>
    <xdr:clientData/>
  </xdr:twoCellAnchor>
  <xdr:twoCellAnchor editAs="oneCell">
    <xdr:from>
      <xdr:col>1</xdr:col>
      <xdr:colOff>440266</xdr:colOff>
      <xdr:row>27</xdr:row>
      <xdr:rowOff>127004</xdr:rowOff>
    </xdr:from>
    <xdr:to>
      <xdr:col>5</xdr:col>
      <xdr:colOff>143933</xdr:colOff>
      <xdr:row>33</xdr:row>
      <xdr:rowOff>4</xdr:rowOff>
    </xdr:to>
    <mc:AlternateContent xmlns:mc="http://schemas.openxmlformats.org/markup-compatibility/2006">
      <mc:Choice xmlns:a14="http://schemas.microsoft.com/office/drawing/2010/main" Requires="a14">
        <xdr:graphicFrame macro="">
          <xdr:nvGraphicFramePr>
            <xdr:cNvPr id="39" name="BP_Status">
              <a:extLst>
                <a:ext uri="{FF2B5EF4-FFF2-40B4-BE49-F238E27FC236}">
                  <a16:creationId xmlns:a16="http://schemas.microsoft.com/office/drawing/2014/main" id="{D524C9B6-AF71-493F-9010-9AB3AE8A0F05}"/>
                </a:ext>
              </a:extLst>
            </xdr:cNvPr>
            <xdr:cNvGraphicFramePr/>
          </xdr:nvGraphicFramePr>
          <xdr:xfrm>
            <a:off x="0" y="0"/>
            <a:ext cx="0" cy="0"/>
          </xdr:xfrm>
          <a:graphic>
            <a:graphicData uri="http://schemas.microsoft.com/office/drawing/2010/slicer">
              <sle:slicer xmlns:sle="http://schemas.microsoft.com/office/drawing/2010/slicer" name="BP_Status"/>
            </a:graphicData>
          </a:graphic>
        </xdr:graphicFrame>
      </mc:Choice>
      <mc:Fallback>
        <xdr:sp macro="" textlink="">
          <xdr:nvSpPr>
            <xdr:cNvPr id="0" name=""/>
            <xdr:cNvSpPr>
              <a:spLocks noTextEdit="1"/>
            </xdr:cNvSpPr>
          </xdr:nvSpPr>
          <xdr:spPr>
            <a:xfrm>
              <a:off x="1049866" y="5156204"/>
              <a:ext cx="2142067"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89997916666" backgroundQuery="1" createdVersion="8" refreshedVersion="8" minRefreshableVersion="3" recordCount="0" supportSubquery="1" supportAdvancedDrill="1" xr:uid="{DC2E5771-2036-44FA-BC73-FFE498560643}">
  <cacheSource type="external" connectionId="2"/>
  <cacheFields count="6">
    <cacheField name="[Measures].[Count of Patient_ID]" caption="Count of Patient_ID" numFmtId="0" hierarchy="22" level="32767"/>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Hypertension_data].[Antihypertensive_Class].[Antihypertensive_Class]" caption="Antihypertensive_Class" numFmtId="0" hierarchy="9" level="1">
      <sharedItems containsSemiMixedTypes="0" containsNonDate="0" containsString="0"/>
    </cacheField>
    <cacheField name="[Hypertension_data].[Gender].[Gender]" caption="Gender" numFmtId="0" hierarchy="2" level="1">
      <sharedItems containsSemiMixedTypes="0" containsNonDate="0" containsString="0"/>
    </cacheField>
    <cacheField name="[Hypertension_data].[Medication_Adherence].[Medication_Adherence]" caption="Medication_Adherence" numFmtId="0" hierarchy="10" level="1">
      <sharedItems containsSemiMixedTypes="0" containsNonDate="0" containsString="0"/>
    </cacheField>
    <cacheField name="[Hypertension_data].[BP_Status].[BP_Status]" caption="BP_Status" numFmtId="0" hierarchy="16"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3"/>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2"/>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4"/>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1"/>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5"/>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90002199076" backgroundQuery="1" createdVersion="8" refreshedVersion="8" minRefreshableVersion="3" recordCount="0" supportSubquery="1" supportAdvancedDrill="1" xr:uid="{C5314108-251D-437E-B04F-AFB4F3F324EE}">
  <cacheSource type="external" connectionId="2"/>
  <cacheFields count="6">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Measures].[Count of Patient_ID]" caption="Count of Patient_ID" numFmtId="0" hierarchy="22" level="32767"/>
    <cacheField name="[Hypertension_data].[Medication_Adherence].[Medication_Adherence]" caption="Medication_Adherence" numFmtId="0" hierarchy="10" level="1">
      <sharedItems count="3">
        <s v="Good"/>
        <s v="Moderate"/>
        <s v="Poor"/>
      </sharedItems>
    </cacheField>
    <cacheField name="[Hypertension_data].[BP_Status].[BP_Status]" caption="BP_Status" numFmtId="0" hierarchy="16" level="1">
      <sharedItems count="2">
        <s v="Controlled"/>
        <s v="Not Controlled"/>
      </sharedItems>
    </cacheField>
    <cacheField name="[Hypertension_data].[Antihypertensive_Class].[Antihypertensive_Class]" caption="Antihypertensive_Class" numFmtId="0" hierarchy="9" level="1">
      <sharedItems containsSemiMixedTypes="0" containsNonDate="0" containsString="0"/>
    </cacheField>
    <cacheField name="[Hypertension_data].[Gender].[Gender]" caption="Gender" numFmtId="0" hierarchy="2"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5"/>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4"/>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2"/>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0"/>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3"/>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90006712964" backgroundQuery="1" createdVersion="8" refreshedVersion="8" minRefreshableVersion="3" recordCount="0" supportSubquery="1" supportAdvancedDrill="1" xr:uid="{022E97D8-0A6B-4B3E-B78A-827E404A1287}">
  <cacheSource type="external" connectionId="2"/>
  <cacheFields count="6">
    <cacheField name="[Measures].[Count of Patient_ID]" caption="Count of Patient_ID" numFmtId="0" hierarchy="22" level="32767"/>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Hypertension_data].[Antihypertensive_Class].[Antihypertensive_Class]" caption="Antihypertensive_Class" numFmtId="0" hierarchy="9" level="1">
      <sharedItems count="6">
        <s v="ACE Inhibitor"/>
        <s v="ARB"/>
        <s v="Beta Blocker"/>
        <s v="Calcium Channel Blocker"/>
        <s v="Combination Therapy"/>
        <s v="Thiazide Diuretic"/>
      </sharedItems>
    </cacheField>
    <cacheField name="[Hypertension_data].[BP_Status].[BP_Status]" caption="BP_Status" numFmtId="0" hierarchy="16" level="1">
      <sharedItems count="2">
        <s v="Controlled"/>
        <s v="Not Controlled"/>
      </sharedItems>
    </cacheField>
    <cacheField name="[Hypertension_data].[Gender].[Gender]" caption="Gender" numFmtId="0" hierarchy="2" level="1">
      <sharedItems containsSemiMixedTypes="0" containsNonDate="0" containsString="0"/>
    </cacheField>
    <cacheField name="[Hypertension_data].[Medication_Adherence].[Medication_Adherence]" caption="Medication_Adherence" numFmtId="0" hierarchy="10"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4"/>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2"/>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5"/>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1"/>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3"/>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90011574075" backgroundQuery="1" createdVersion="8" refreshedVersion="8" minRefreshableVersion="3" recordCount="0" supportSubquery="1" supportAdvancedDrill="1" xr:uid="{F70B0AF9-62A4-41D7-AFD2-CA7FF8F5F21A}">
  <cacheSource type="external" connectionId="2"/>
  <cacheFields count="6">
    <cacheField name="[Measures].[Count of Patient_ID]" caption="Count of Patient_ID" numFmtId="0" hierarchy="22" level="32767"/>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Hypertension_data].[BP_Status].[BP_Status]" caption="BP_Status" numFmtId="0" hierarchy="16" level="1">
      <sharedItems count="2">
        <s v="Controlled"/>
        <s v="Not Controlled"/>
      </sharedItems>
    </cacheField>
    <cacheField name="[Hypertension_data].[Antihypertensive_Class].[Antihypertensive_Class]" caption="Antihypertensive_Class" numFmtId="0" hierarchy="9" level="1">
      <sharedItems containsSemiMixedTypes="0" containsNonDate="0" containsString="0"/>
    </cacheField>
    <cacheField name="[Hypertension_data].[Gender].[Gender]" caption="Gender" numFmtId="0" hierarchy="2" level="1">
      <sharedItems containsSemiMixedTypes="0" containsNonDate="0" containsString="0"/>
    </cacheField>
    <cacheField name="[Hypertension_data].[Medication_Adherence].[Medication_Adherence]" caption="Medication_Adherence" numFmtId="0" hierarchy="10"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4"/>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3"/>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5"/>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1"/>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2"/>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90017361109" backgroundQuery="1" createdVersion="8" refreshedVersion="8" minRefreshableVersion="3" recordCount="0" supportSubquery="1" supportAdvancedDrill="1" xr:uid="{EAB91ED6-5D04-4F1B-940B-AF66F97F78C3}">
  <cacheSource type="external" connectionId="2"/>
  <cacheFields count="6">
    <cacheField name="[Measures].[Count of Patient_ID]" caption="Count of Patient_ID" numFmtId="0" hierarchy="22" level="32767"/>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Hypertension_data].[Antihypertensive_Class].[Antihypertensive_Class]" caption="Antihypertensive_Class" numFmtId="0" hierarchy="9" level="1">
      <sharedItems containsSemiMixedTypes="0" containsNonDate="0" containsString="0"/>
    </cacheField>
    <cacheField name="[Hypertension_data].[Gender].[Gender]" caption="Gender" numFmtId="0" hierarchy="2" level="1">
      <sharedItems containsSemiMixedTypes="0" containsNonDate="0" containsString="0"/>
    </cacheField>
    <cacheField name="[Hypertension_data].[Medication_Adherence].[Medication_Adherence]" caption="Medication_Adherence" numFmtId="0" hierarchy="10" level="1">
      <sharedItems containsSemiMixedTypes="0" containsNonDate="0" containsString="0"/>
    </cacheField>
    <cacheField name="[Hypertension_data].[BP_Status].[BP_Status]" caption="BP_Status" numFmtId="0" hierarchy="16"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3"/>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2"/>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4"/>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1"/>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5"/>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90023842591" backgroundQuery="1" createdVersion="8" refreshedVersion="8" minRefreshableVersion="3" recordCount="0" supportSubquery="1" supportAdvancedDrill="1" xr:uid="{1A648D3E-B9F3-43AB-913F-B0D7600CF678}">
  <cacheSource type="external" connectionId="2"/>
  <cacheFields count="7">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Measures].[Count of Patient_ID]" caption="Count of Patient_ID" numFmtId="0" hierarchy="22" level="32767"/>
    <cacheField name="[Hypertension_data].[Age_Group].[Age_Group]" caption="Age_Group" numFmtId="0" hierarchy="19" level="1">
      <sharedItems count="5">
        <s v="30-39"/>
        <s v="40-49"/>
        <s v="50-59"/>
        <s v="60-69"/>
        <s v="70+"/>
      </sharedItems>
    </cacheField>
    <cacheField name="[Hypertension_data].[Antihypertensive_Class].[Antihypertensive_Class]" caption="Antihypertensive_Class" numFmtId="0" hierarchy="9" level="1">
      <sharedItems containsSemiMixedTypes="0" containsNonDate="0" containsString="0"/>
    </cacheField>
    <cacheField name="[Hypertension_data].[Gender].[Gender]" caption="Gender" numFmtId="0" hierarchy="2" level="1">
      <sharedItems containsSemiMixedTypes="0" containsNonDate="0" containsString="0"/>
    </cacheField>
    <cacheField name="[Hypertension_data].[Medication_Adherence].[Medication_Adherence]" caption="Medication_Adherence" numFmtId="0" hierarchy="10" level="1">
      <sharedItems containsSemiMixedTypes="0" containsNonDate="0" containsString="0"/>
    </cacheField>
    <cacheField name="[Hypertension_data].[BP_Status].[BP_Status]" caption="BP_Status" numFmtId="0" hierarchy="16"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4"/>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3"/>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5"/>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0"/>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6"/>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2" memberValueDatatype="130" unbalanced="0">
      <fieldsUsage count="2">
        <fieldUsage x="-1"/>
        <fieldUsage x="2"/>
      </fieldsUsage>
    </cacheHierarchy>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90028472224" backgroundQuery="1" createdVersion="8" refreshedVersion="8" minRefreshableVersion="3" recordCount="0" supportSubquery="1" supportAdvancedDrill="1" xr:uid="{F7498885-2F7A-4A43-A152-C8B337C337C6}">
  <cacheSource type="external" connectionId="2"/>
  <cacheFields count="6">
    <cacheField name="[Hypertension_data].[BP_Controlled_After_3_Months].[BP_Controlled_After_3_Months]" caption="BP_Controlled_After_3_Months"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ypertension_data].[BP_Controlled_After_3_Months].&amp;[0]"/>
            <x15:cachedUniqueName index="1" name="[Hypertension_data].[BP_Controlled_After_3_Months].&amp;[1]"/>
          </x15:cachedUniqueNames>
        </ext>
      </extLst>
    </cacheField>
    <cacheField name="[Hypertension_data].[BP_Status].[BP_Status]" caption="BP_Status" numFmtId="0" hierarchy="16" level="1">
      <sharedItems count="2">
        <s v="Controlled"/>
        <s v="Not Controlled"/>
      </sharedItems>
    </cacheField>
    <cacheField name="[Measures].[Average of Diastolic_Reduction]" caption="Average of Diastolic_Reduction" numFmtId="0" hierarchy="24" level="32767"/>
    <cacheField name="[Hypertension_data].[Antihypertensive_Class].[Antihypertensive_Class]" caption="Antihypertensive_Class" numFmtId="0" hierarchy="9" level="1">
      <sharedItems containsSemiMixedTypes="0" containsNonDate="0" containsString="0"/>
    </cacheField>
    <cacheField name="[Hypertension_data].[Gender].[Gender]" caption="Gender" numFmtId="0" hierarchy="2" level="1">
      <sharedItems containsSemiMixedTypes="0" containsNonDate="0" containsString="0"/>
    </cacheField>
    <cacheField name="[Hypertension_data].[Medication_Adherence].[Medication_Adherence]" caption="Medication_Adherence" numFmtId="0" hierarchy="10" level="1">
      <sharedItems containsSemiMixedTypes="0" containsNonDate="0" containsString="0"/>
    </cacheField>
  </cacheFields>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fieldsUsage count="2">
        <fieldUsage x="-1"/>
        <fieldUsage x="4"/>
      </fieldsUsage>
    </cacheHierarchy>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fieldsUsage count="2">
        <fieldUsage x="-1"/>
        <fieldUsage x="3"/>
      </fieldsUsage>
    </cacheHierarchy>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fieldsUsage count="2">
        <fieldUsage x="-1"/>
        <fieldUsage x="5"/>
      </fieldsUsage>
    </cacheHierarchy>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2" memberValueDatatype="20" unbalanced="0">
      <fieldsUsage count="2">
        <fieldUsage x="-1"/>
        <fieldUsage x="0"/>
      </fieldsUsage>
    </cacheHierarchy>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fieldsUsage count="2">
        <fieldUsage x="-1"/>
        <fieldUsage x="1"/>
      </fieldsUsage>
    </cacheHierarchy>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hidden="1">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2">
    <dimension name="Hypertension_data" uniqueName="[Hypertension_data]" caption="Hypertension_data"/>
    <dimension measure="1" name="Measures" uniqueName="[Measures]" caption="Measures"/>
  </dimensions>
  <measureGroups count="1">
    <measureGroup name="Hypertension_data" caption="Hypertensi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1.489990509261" backgroundQuery="1" createdVersion="3" refreshedVersion="8" minRefreshableVersion="3" recordCount="0" supportSubquery="1" supportAdvancedDrill="1" xr:uid="{53CDE912-A5EE-466D-BCE3-11E6C0AECA7A}">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Hypertension_data].[Patient_ID]" caption="Patient_ID" attribute="1" defaultMemberUniqueName="[Hypertension_data].[Patient_ID].[All]" allUniqueName="[Hypertension_data].[Patient_ID].[All]" dimensionUniqueName="[Hypertension_data]" displayFolder="" count="0" memberValueDatatype="130" unbalanced="0"/>
    <cacheHierarchy uniqueName="[Hypertension_data].[Age]" caption="Age" attribute="1" defaultMemberUniqueName="[Hypertension_data].[Age].[All]" allUniqueName="[Hypertension_data].[Age].[All]" dimensionUniqueName="[Hypertension_data]" displayFolder="" count="0" memberValueDatatype="20" unbalanced="0"/>
    <cacheHierarchy uniqueName="[Hypertension_data].[Gender]" caption="Gender" attribute="1" defaultMemberUniqueName="[Hypertension_data].[Gender].[All]" allUniqueName="[Hypertension_data].[Gender].[All]" dimensionUniqueName="[Hypertension_data]" displayFolder="" count="2" memberValueDatatype="130" unbalanced="0"/>
    <cacheHierarchy uniqueName="[Hypertension_data].[Diabetes_Mellitus]" caption="Diabetes_Mellitus" attribute="1" defaultMemberUniqueName="[Hypertension_data].[Diabetes_Mellitus].[All]" allUniqueName="[Hypertension_data].[Diabetes_Mellitus].[All]" dimensionUniqueName="[Hypertension_data]" displayFolder="" count="0" memberValueDatatype="20" unbalanced="0"/>
    <cacheHierarchy uniqueName="[Hypertension_data].[Chronic_Kidney_Disease]" caption="Chronic_Kidney_Disease" attribute="1" defaultMemberUniqueName="[Hypertension_data].[Chronic_Kidney_Disease].[All]" allUniqueName="[Hypertension_data].[Chronic_Kidney_Disease].[All]" dimensionUniqueName="[Hypertension_data]" displayFolder="" count="0" memberValueDatatype="20" unbalanced="0"/>
    <cacheHierarchy uniqueName="[Hypertension_data].[Dyslipidemia]" caption="Dyslipidemia" attribute="1" defaultMemberUniqueName="[Hypertension_data].[Dyslipidemia].[All]" allUniqueName="[Hypertension_data].[Dyslipidemia].[All]" dimensionUniqueName="[Hypertension_data]" displayFolder="" count="0" memberValueDatatype="20" unbalanced="0"/>
    <cacheHierarchy uniqueName="[Hypertension_data].[Obesity]" caption="Obesity" attribute="1" defaultMemberUniqueName="[Hypertension_data].[Obesity].[All]" allUniqueName="[Hypertension_data].[Obesity].[All]" dimensionUniqueName="[Hypertension_data]" displayFolder="" count="0" memberValueDatatype="20" unbalanced="0"/>
    <cacheHierarchy uniqueName="[Hypertension_data].[Baseline_Systolic_BP]" caption="Baseline_Systolic_BP" attribute="1" defaultMemberUniqueName="[Hypertension_data].[Baseline_Systolic_BP].[All]" allUniqueName="[Hypertension_data].[Baseline_Systolic_BP].[All]" dimensionUniqueName="[Hypertension_data]" displayFolder="" count="0" memberValueDatatype="20" unbalanced="0"/>
    <cacheHierarchy uniqueName="[Hypertension_data].[Baseline_Diastolic_BP]" caption="Baseline_Diastolic_BP" attribute="1" defaultMemberUniqueName="[Hypertension_data].[Baseline_Diastolic_BP].[All]" allUniqueName="[Hypertension_data].[Baseline_Diastolic_BP].[All]" dimensionUniqueName="[Hypertension_data]" displayFolder="" count="0" memberValueDatatype="20" unbalanced="0"/>
    <cacheHierarchy uniqueName="[Hypertension_data].[Antihypertensive_Class]" caption="Antihypertensive_Class" attribute="1" defaultMemberUniqueName="[Hypertension_data].[Antihypertensive_Class].[All]" allUniqueName="[Hypertension_data].[Antihypertensive_Class].[All]" dimensionUniqueName="[Hypertension_data]" displayFolder="" count="2" memberValueDatatype="130" unbalanced="0"/>
    <cacheHierarchy uniqueName="[Hypertension_data].[Medication_Adherence]" caption="Medication_Adherence" attribute="1" defaultMemberUniqueName="[Hypertension_data].[Medication_Adherence].[All]" allUniqueName="[Hypertension_data].[Medication_Adherence].[All]" dimensionUniqueName="[Hypertension_data]" displayFolder="" count="2" memberValueDatatype="130" unbalanced="0"/>
    <cacheHierarchy uniqueName="[Hypertension_data].[Followup_Systolic_BP]" caption="Followup_Systolic_BP" attribute="1" defaultMemberUniqueName="[Hypertension_data].[Followup_Systolic_BP].[All]" allUniqueName="[Hypertension_data].[Followup_Systolic_BP].[All]" dimensionUniqueName="[Hypertension_data]" displayFolder="" count="0" memberValueDatatype="20" unbalanced="0"/>
    <cacheHierarchy uniqueName="[Hypertension_data].[Followup_Diastolic_BP]" caption="Followup_Diastolic_BP" attribute="1" defaultMemberUniqueName="[Hypertension_data].[Followup_Diastolic_BP].[All]" allUniqueName="[Hypertension_data].[Followup_Diastolic_BP].[All]" dimensionUniqueName="[Hypertension_data]" displayFolder="" count="0" memberValueDatatype="20" unbalanced="0"/>
    <cacheHierarchy uniqueName="[Hypertension_data].[BP_Controlled_After_3_Months]" caption="BP_Controlled_After_3_Months" attribute="1" defaultMemberUniqueName="[Hypertension_data].[BP_Controlled_After_3_Months].[All]" allUniqueName="[Hypertension_data].[BP_Controlled_After_3_Months].[All]" dimensionUniqueName="[Hypertension_data]" displayFolder="" count="0" memberValueDatatype="20" unbalanced="0"/>
    <cacheHierarchy uniqueName="[Hypertension_data].[Number_Of_Visits]" caption="Number_Of_Visits" attribute="1" defaultMemberUniqueName="[Hypertension_data].[Number_Of_Visits].[All]" allUniqueName="[Hypertension_data].[Number_Of_Visits].[All]" dimensionUniqueName="[Hypertension_data]" displayFolder="" count="0" memberValueDatatype="20" unbalanced="0"/>
    <cacheHierarchy uniqueName="[Hypertension_data].[Registration_Date]" caption="Registration_Date" attribute="1" time="1" defaultMemberUniqueName="[Hypertension_data].[Registration_Date].[All]" allUniqueName="[Hypertension_data].[Registration_Date].[All]" dimensionUniqueName="[Hypertension_data]" displayFolder="" count="0" memberValueDatatype="7" unbalanced="0"/>
    <cacheHierarchy uniqueName="[Hypertension_data].[BP_Status]" caption="BP_Status" attribute="1" defaultMemberUniqueName="[Hypertension_data].[BP_Status].[All]" allUniqueName="[Hypertension_data].[BP_Status].[All]" dimensionUniqueName="[Hypertension_data]" displayFolder="" count="2" memberValueDatatype="130" unbalanced="0"/>
    <cacheHierarchy uniqueName="[Hypertension_data].[Systolic_Reduction]" caption="Systolic_Reduction" attribute="1" defaultMemberUniqueName="[Hypertension_data].[Systolic_Reduction].[All]" allUniqueName="[Hypertension_data].[Systolic_Reduction].[All]" dimensionUniqueName="[Hypertension_data]" displayFolder="" count="0" memberValueDatatype="20" unbalanced="0"/>
    <cacheHierarchy uniqueName="[Hypertension_data].[Diastolic_Reduction]" caption="Diastolic_Reduction" attribute="1" defaultMemberUniqueName="[Hypertension_data].[Diastolic_Reduction].[All]" allUniqueName="[Hypertension_data].[Diastolic_Reduction].[All]" dimensionUniqueName="[Hypertension_data]" displayFolder="" count="0" memberValueDatatype="20" unbalanced="0"/>
    <cacheHierarchy uniqueName="[Hypertension_data].[Age_Group]" caption="Age_Group" attribute="1" defaultMemberUniqueName="[Hypertension_data].[Age_Group].[All]" allUniqueName="[Hypertension_data].[Age_Group].[All]" dimensionUniqueName="[Hypertension_data]" displayFolder="" count="0" memberValueDatatype="130" unbalanced="0"/>
    <cacheHierarchy uniqueName="[Measures].[__XL_Count Hypertension_data]" caption="__XL_Count Hypertension_data" measure="1" displayFolder="" measureGroup="Hypertension_data" count="0" hidden="1"/>
    <cacheHierarchy uniqueName="[Measures].[__No measures defined]" caption="__No measures defined" measure="1" displayFolder="" count="0" hidden="1"/>
    <cacheHierarchy uniqueName="[Measures].[Count of Patient_ID]" caption="Count of Patient_ID" measure="1" displayFolder="" measureGroup="Hypertension_data" count="0" hidden="1">
      <extLst>
        <ext xmlns:x15="http://schemas.microsoft.com/office/spreadsheetml/2010/11/main" uri="{B97F6D7D-B522-45F9-BDA1-12C45D357490}">
          <x15:cacheHierarchy aggregatedColumn="0"/>
        </ext>
      </extLst>
    </cacheHierarchy>
    <cacheHierarchy uniqueName="[Measures].[Sum of Diastolic_Reduction]" caption="Sum of Diastolic_Reduction" measure="1" displayFolder="" measureGroup="Hypertension_data" count="0" hidden="1">
      <extLst>
        <ext xmlns:x15="http://schemas.microsoft.com/office/spreadsheetml/2010/11/main" uri="{B97F6D7D-B522-45F9-BDA1-12C45D357490}">
          <x15:cacheHierarchy aggregatedColumn="18"/>
        </ext>
      </extLst>
    </cacheHierarchy>
    <cacheHierarchy uniqueName="[Measures].[Average of Diastolic_Reduction]" caption="Average of Diastolic_Reduction" measure="1" displayFolder="" measureGroup="Hypertension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0071111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51DB7-523F-4A6B-8D44-AB3A0B19C0DA}" name="PivotTable8" cacheId="17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A21:C27" firstHeaderRow="1" firstDataRow="2" firstDataCol="1"/>
  <pivotFields count="7">
    <pivotField axis="axisCol" allDrilled="1" subtotalTop="0" showAll="0" dataSourceSort="1" defaultSubtotal="0" defaultAttributeDrillState="1">
      <items count="2">
        <item n="Not Controlled" x="0"/>
        <item n="Controlled"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x v="4"/>
    </i>
  </rowItems>
  <colFields count="1">
    <field x="0"/>
  </colFields>
  <colItems count="2">
    <i>
      <x/>
    </i>
    <i>
      <x v="1"/>
    </i>
  </colItems>
  <dataFields count="1">
    <dataField name="Count of Patient_ID" fld="1" subtotal="count" showDataAs="percentOfRow" baseField="0" baseItem="0" numFmtId="10"/>
  </dataFields>
  <chartFormats count="5">
    <chartFormat chart="2" format="9"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CC711-740F-44D0-BAB5-6A59972ABC92}" name="PivotTable7" cacheId="1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H15:I18" firstHeaderRow="1" firstDataRow="1" firstDataCol="1"/>
  <pivotFields count="6">
    <pivotField dataField="1" subtotalTop="0" showAll="0" defaultSubtotal="0"/>
    <pivotField axis="axisRow" allDrilled="1" subtotalTop="0" showAll="0" dataSourceSort="1" defaultSubtotal="0" defaultAttributeDrillState="1">
      <items count="2">
        <item n="Not Controlled" x="0"/>
        <item n="Controlled"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ID" fld="0" subtotal="count" showDataAs="percentOfTotal" baseField="0" baseItem="0" numFmtId="1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F863C3-BE06-456F-AE43-7DB755A4C46F}" name="PivotTable5" cacheId="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E15:F18" firstHeaderRow="1" firstDataRow="1" firstDataCol="1"/>
  <pivotFields count="6">
    <pivotField dataField="1" subtotalTop="0" showAll="0" defaultSubtotal="0"/>
    <pivotField allDrilled="1" subtotalTop="0" showAll="0" dataSourceSort="1" defaultSubtotal="0" defaultAttributeDrillState="1">
      <items count="2">
        <item n="Not Controlled" x="0"/>
        <item n="Controlled"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_ID" fld="0" subtotal="count" baseField="0" baseItem="0"/>
  </dataFields>
  <chartFormats count="1">
    <chartFormat chart="3" format="6"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56867-53B0-4556-AC37-3CFABA3BF88F}" name="PivotTable1" cacheId="1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location ref="E10:F12" firstHeaderRow="1" firstDataRow="1" firstDataCol="1"/>
  <pivotFields count="6">
    <pivotField allDrilled="1" subtotalTop="0" showAll="0" dataSourceSort="1" defaultSubtotal="0" defaultAttributeDrillState="1">
      <items count="2">
        <item n="Not Controlled" x="0"/>
        <item n="Controlled" x="1"/>
      </items>
    </pivotField>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name="Average of Diastolic_Reduction" fld="2" subtotal="average" baseField="1" baseItem="0" numFmtId="164"/>
  </dataFields>
  <formats count="1">
    <format dxfId="1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iastolic_Reduction"/>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1304D3-35CB-4AF2-A77F-B87E3DBFDB0B}" name="PivotTable3" cacheId="1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E3:G7" firstHeaderRow="1" firstDataRow="2" firstDataCol="1"/>
  <pivotFields count="6">
    <pivotField allDrilled="1" subtotalTop="0" showAll="0" dataSourceSort="1" defaultSubtotal="0" defaultAttributeDrillState="1">
      <items count="2">
        <item n="Not Controlled" x="0"/>
        <item n="Controlled" x="1"/>
      </items>
    </pivotField>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Fields count="1">
    <field x="3"/>
  </colFields>
  <colItems count="2">
    <i>
      <x/>
    </i>
    <i>
      <x v="1"/>
    </i>
  </colItems>
  <dataFields count="1">
    <dataField name="Count of Patient_ID" fld="1" subtotal="count" showDataAs="percentOfRow" baseField="0" baseItem="0" numFmtId="10"/>
  </dataFields>
  <chartFormats count="6">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3">
          <reference field="4294967294" count="1" selected="0">
            <x v="0"/>
          </reference>
          <reference field="2" count="1" selected="0">
            <x v="0"/>
          </reference>
          <reference field="3" count="1" selected="0">
            <x v="1"/>
          </reference>
        </references>
      </pivotArea>
    </chartFormat>
    <chartFormat chart="2" format="7">
      <pivotArea type="data" outline="0" fieldPosition="0">
        <references count="3">
          <reference field="4294967294" count="1" selected="0">
            <x v="0"/>
          </reference>
          <reference field="2" count="1" selected="0">
            <x v="1"/>
          </reference>
          <reference field="3" count="1" selected="0">
            <x v="1"/>
          </reference>
        </references>
      </pivotArea>
    </chartFormat>
    <chartFormat chart="2" format="8">
      <pivotArea type="data" outline="0" fieldPosition="0">
        <references count="3">
          <reference field="4294967294" count="1" selected="0">
            <x v="0"/>
          </reference>
          <reference field="2" count="1" selected="0">
            <x v="2"/>
          </reference>
          <reference field="3" count="1" selected="0">
            <x v="1"/>
          </reference>
        </references>
      </pivotArea>
    </chartFormat>
    <chartFormat chart="2" format="9"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C9BD23-3CE4-4E7B-9689-A2FBBC901842}" name="PivotTable2" cacheId="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B6" firstHeaderRow="1" firstDataRow="1" firstDataCol="1"/>
  <pivotFields count="6">
    <pivotField dataField="1" subtotalTop="0" showAll="0" defaultSubtotal="0"/>
    <pivotField axis="axisRow" allDrilled="1" subtotalTop="0" showAll="0" dataSourceSort="1" defaultSubtotal="0" defaultAttributeDrillState="1">
      <items count="2">
        <item n="Not Controlled" x="0"/>
        <item n="Controlled"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I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F7C50-5F89-4AC5-81DE-DA2B5CDC13F5}" name="PivotTable4" cacheId="16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10:C17" firstHeaderRow="1" firstDataRow="2" firstDataCol="1"/>
  <pivotFields count="6">
    <pivotField dataField="1" subtotalTop="0" showAll="0" defaultSubtotal="0"/>
    <pivotField allDrilled="1" subtotalTop="0" showAll="0" dataSourceSort="1" defaultSubtotal="0" defaultAttributeDrillState="1">
      <items count="2">
        <item n="Not Controlled" x="0"/>
        <item n="Controlled" x="1"/>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2">
            <reference field="4294967294" count="1" selected="0">
              <x v="0"/>
            </reference>
            <reference field="3" count="1" selected="0">
              <x v="0"/>
            </reference>
          </references>
        </pivotArea>
      </autoSortScope>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4"/>
    </i>
    <i>
      <x v="5"/>
    </i>
    <i>
      <x v="2"/>
    </i>
    <i>
      <x v="1"/>
    </i>
    <i>
      <x v="3"/>
    </i>
    <i>
      <x/>
    </i>
  </rowItems>
  <colFields count="1">
    <field x="3"/>
  </colFields>
  <colItems count="2">
    <i>
      <x/>
    </i>
    <i>
      <x v="1"/>
    </i>
  </colItems>
  <dataFields count="1">
    <dataField name="Count of Patient_ID" fld="0" subtotal="count" showDataAs="percentOfRow" baseField="0" baseItem="0" numFmtId="10"/>
  </dataField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ypertension_Data.csv.xlsx!Hypertension_data">
        <x15:activeTabTopLevelEntity name="[Hypertensio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6304B1-7CF8-42D3-A659-F03E95AE73B3}" autoFormatId="16" applyNumberFormats="0" applyBorderFormats="0" applyFontFormats="0" applyPatternFormats="0" applyAlignmentFormats="0" applyWidthHeightFormats="0">
  <queryTableRefresh nextId="24" unboundColumnsRight="4">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9" dataBound="0" tableColumnId="17"/>
      <queryTableField id="20" dataBound="0" tableColumnId="18"/>
      <queryTableField id="21" dataBound="0" tableColumnId="19"/>
      <queryTableField id="22"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tihypertensive_Class" xr10:uid="{522321AE-AFBB-4E9F-BA2E-DC7D90559682}" sourceName="[Hypertension_data].[Antihypertensive_Class]">
  <pivotTables>
    <pivotTable tabId="3" name="PivotTable1"/>
    <pivotTable tabId="3" name="PivotTable2"/>
    <pivotTable tabId="3" name="PivotTable3"/>
    <pivotTable tabId="3" name="PivotTable4"/>
    <pivotTable tabId="3" name="PivotTable5"/>
    <pivotTable tabId="3" name="PivotTable7"/>
    <pivotTable tabId="3" name="PivotTable8"/>
  </pivotTables>
  <data>
    <olap pivotCacheId="1007111100">
      <levels count="2">
        <level uniqueName="[Hypertension_data].[Antihypertensive_Class].[(All)]" sourceCaption="(All)" count="0"/>
        <level uniqueName="[Hypertension_data].[Antihypertensive_Class].[Antihypertensive_Class]" sourceCaption="Antihypertensive_Class" count="6">
          <ranges>
            <range startItem="0">
              <i n="[Hypertension_data].[Antihypertensive_Class].&amp;[ACE Inhibitor]" c="ACE Inhibitor"/>
              <i n="[Hypertension_data].[Antihypertensive_Class].&amp;[ARB]" c="ARB"/>
              <i n="[Hypertension_data].[Antihypertensive_Class].&amp;[Beta Blocker]" c="Beta Blocker"/>
              <i n="[Hypertension_data].[Antihypertensive_Class].&amp;[Calcium Channel Blocker]" c="Calcium Channel Blocker"/>
              <i n="[Hypertension_data].[Antihypertensive_Class].&amp;[Combination Therapy]" c="Combination Therapy"/>
              <i n="[Hypertension_data].[Antihypertensive_Class].&amp;[Thiazide Diuretic]" c="Thiazide Diuretic"/>
            </range>
          </ranges>
        </level>
      </levels>
      <selections count="1">
        <selection n="[Hypertension_data].[Antihypertensive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8F18C6-25CD-4948-B419-5F46AC8713F4}" sourceName="[Hypertension_data].[Gender]">
  <pivotTables>
    <pivotTable tabId="3" name="PivotTable1"/>
    <pivotTable tabId="3" name="PivotTable2"/>
    <pivotTable tabId="3" name="PivotTable3"/>
    <pivotTable tabId="3" name="PivotTable4"/>
    <pivotTable tabId="3" name="PivotTable5"/>
    <pivotTable tabId="3" name="PivotTable7"/>
    <pivotTable tabId="3" name="PivotTable8"/>
  </pivotTables>
  <data>
    <olap pivotCacheId="1007111100">
      <levels count="2">
        <level uniqueName="[Hypertension_data].[Gender].[(All)]" sourceCaption="(All)" count="0"/>
        <level uniqueName="[Hypertension_data].[Gender].[Gender]" sourceCaption="Gender" count="2">
          <ranges>
            <range startItem="0">
              <i n="[Hypertension_data].[Gender].&amp;[Female]" c="Female"/>
              <i n="[Hypertension_data].[Gender].&amp;[Male]" c="Male"/>
            </range>
          </ranges>
        </level>
      </levels>
      <selections count="1">
        <selection n="[Hypertension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_Adherence" xr10:uid="{BC810D6F-BE19-4AD1-BA42-43F5B1CFE495}" sourceName="[Hypertension_data].[Medication_Adherence]">
  <pivotTables>
    <pivotTable tabId="3" name="PivotTable1"/>
    <pivotTable tabId="3" name="PivotTable2"/>
    <pivotTable tabId="3" name="PivotTable3"/>
    <pivotTable tabId="3" name="PivotTable4"/>
    <pivotTable tabId="3" name="PivotTable5"/>
    <pivotTable tabId="3" name="PivotTable7"/>
    <pivotTable tabId="3" name="PivotTable8"/>
  </pivotTables>
  <data>
    <olap pivotCacheId="1007111100">
      <levels count="2">
        <level uniqueName="[Hypertension_data].[Medication_Adherence].[(All)]" sourceCaption="(All)" count="0"/>
        <level uniqueName="[Hypertension_data].[Medication_Adherence].[Medication_Adherence]" sourceCaption="Medication_Adherence" count="3">
          <ranges>
            <range startItem="0">
              <i n="[Hypertension_data].[Medication_Adherence].&amp;[Good]" c="Good"/>
              <i n="[Hypertension_data].[Medication_Adherence].&amp;[Moderate]" c="Moderate"/>
              <i n="[Hypertension_data].[Medication_Adherence].&amp;[Poor]" c="Poor"/>
            </range>
          </ranges>
        </level>
      </levels>
      <selections count="1">
        <selection n="[Hypertension_data].[Medication_Adheren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P_Status" xr10:uid="{99B9DD3A-0697-4691-AE42-7427C8C89A58}" sourceName="[Hypertension_data].[BP_Status]">
  <pivotTables>
    <pivotTable tabId="3" name="PivotTable8"/>
    <pivotTable tabId="3" name="PivotTable1"/>
    <pivotTable tabId="3" name="PivotTable2"/>
    <pivotTable tabId="3" name="PivotTable3"/>
    <pivotTable tabId="3" name="PivotTable4"/>
    <pivotTable tabId="3" name="PivotTable5"/>
    <pivotTable tabId="3" name="PivotTable7"/>
  </pivotTables>
  <data>
    <olap pivotCacheId="1007111100">
      <levels count="2">
        <level uniqueName="[Hypertension_data].[BP_Status].[(All)]" sourceCaption="(All)" count="0"/>
        <level uniqueName="[Hypertension_data].[BP_Status].[BP_Status]" sourceCaption="BP_Status" count="2">
          <ranges>
            <range startItem="0">
              <i n="[Hypertension_data].[BP_Status].&amp;[Controlled]" c="Controlled"/>
              <i n="[Hypertension_data].[BP_Status].&amp;[Not Controlled]" c="Not Controlled"/>
            </range>
          </ranges>
        </level>
      </levels>
      <selections count="1">
        <selection n="[Hypertension_data].[BP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tihypertensive_Class 1" xr10:uid="{A63D0CC1-6EE4-4E0B-9892-4909F9B4BFF7}" cache="Slicer_Antihypertensive_Class" caption="Antihypertensive_Class" level="1" style="SlicerStyleDark1" rowHeight="251883"/>
  <slicer name="Gender 1" xr10:uid="{92CDDFFA-2F92-4CC4-8DA0-360DCC0EB932}" cache="Slicer_Gender" caption="Gender" columnCount="2" level="1" style="SlicerStyleDark1" rowHeight="251883"/>
  <slicer name="Medication_Adherence 2" xr10:uid="{A5FCEA8A-80CC-429C-A12F-AB466B8F720D}" cache="Slicer_Medication_Adherence" caption="Medication_Adherence" level="1" style="SlicerStyleDark1" rowHeight="251883"/>
  <slicer name="BP_Status" xr10:uid="{B5BB1138-9FFA-4C3D-98C8-66F1DDEB24DA}" cache="Slicer_BP_Status" caption="BP_Status" level="1"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77B97-244B-4896-A020-A382105152E6}" name="Hypertension_data" displayName="Hypertension_data" ref="A1:T351" tableType="queryTable" totalsRowShown="0">
  <autoFilter ref="A1:T351" xr:uid="{4CA77B97-244B-4896-A020-A382105152E6}"/>
  <tableColumns count="20">
    <tableColumn id="1" xr3:uid="{22FEE49B-74CB-49CF-BDD6-41A1DF7A415F}" uniqueName="1" name="Patient_ID" queryTableFieldId="1" dataDxfId="11"/>
    <tableColumn id="2" xr3:uid="{538DD582-1814-4733-9978-27C1BA65CE64}" uniqueName="2" name="Age" queryTableFieldId="2"/>
    <tableColumn id="3" xr3:uid="{02ACCA02-F886-4C48-9299-A23C1B663CBB}" uniqueName="3" name="Gender" queryTableFieldId="3" dataDxfId="10"/>
    <tableColumn id="4" xr3:uid="{B1A4D91D-DF32-49E3-A1F9-C09BE5923337}" uniqueName="4" name="Diabetes_Mellitus" queryTableFieldId="4"/>
    <tableColumn id="5" xr3:uid="{8ED335D8-A7A3-42EC-89FF-CB9D434F1F8C}" uniqueName="5" name="Chronic_Kidney_Disease" queryTableFieldId="5"/>
    <tableColumn id="6" xr3:uid="{30C8C665-DBCA-4B30-B69E-4037EA2EE151}" uniqueName="6" name="Dyslipidemia" queryTableFieldId="6"/>
    <tableColumn id="7" xr3:uid="{DF3C4D66-9FCA-4858-ABEB-A0321BB14EAD}" uniqueName="7" name="Obesity" queryTableFieldId="7"/>
    <tableColumn id="8" xr3:uid="{23488C0E-B6BC-445B-93EE-A7AC183A7DF2}" uniqueName="8" name="Baseline_Systolic_BP" queryTableFieldId="8"/>
    <tableColumn id="9" xr3:uid="{5789F754-4051-40D2-B703-E0B8136D3921}" uniqueName="9" name="Baseline_Diastolic_BP" queryTableFieldId="9"/>
    <tableColumn id="10" xr3:uid="{D5831C65-497F-4E89-BAC6-91D36177395A}" uniqueName="10" name="Antihypertensive_Class" queryTableFieldId="10" dataDxfId="9"/>
    <tableColumn id="11" xr3:uid="{254BFE51-DF90-4A07-A64B-5DBB6B7DB576}" uniqueName="11" name="Medication_Adherence" queryTableFieldId="11" dataDxfId="8"/>
    <tableColumn id="12" xr3:uid="{4054A585-E9E9-4893-AADC-5CA75876D729}" uniqueName="12" name="Followup_Systolic_BP" queryTableFieldId="12"/>
    <tableColumn id="13" xr3:uid="{78584C9A-FFD3-4A68-BCC3-8B5DD72F428F}" uniqueName="13" name="Followup_Diastolic_BP" queryTableFieldId="13"/>
    <tableColumn id="14" xr3:uid="{671D48DB-D199-45FC-A7BD-83538B56574D}" uniqueName="14" name="BP_Controlled_After_3_Months" queryTableFieldId="14"/>
    <tableColumn id="15" xr3:uid="{F941C67E-3B20-470A-9A8C-520BF73ED7A3}" uniqueName="15" name="Number_Of_Visits" queryTableFieldId="15"/>
    <tableColumn id="16" xr3:uid="{59DDD34C-1ECC-424D-AE17-F439EEED125F}" uniqueName="16" name="Registration_Date" queryTableFieldId="16" dataDxfId="7"/>
    <tableColumn id="17" xr3:uid="{D9F7E152-DCEB-4505-814B-5ED89EA46F46}" uniqueName="17" name="BP_Status" queryTableFieldId="19" dataDxfId="6">
      <calculatedColumnFormula>IF(Hypertension_data[[#This Row],[BP_Controlled_After_3_Months]]=1,"Controlled","Not Controlled")</calculatedColumnFormula>
    </tableColumn>
    <tableColumn id="18" xr3:uid="{9995C69E-2B36-4F53-BDFF-8A48FB47BE69}" uniqueName="18" name="Systolic_Reduction" queryTableFieldId="20" dataDxfId="5">
      <calculatedColumnFormula>H2-L2</calculatedColumnFormula>
    </tableColumn>
    <tableColumn id="19" xr3:uid="{F2285349-6E21-468C-9756-FB384E31DB7E}" uniqueName="19" name="Diastolic_Reduction" queryTableFieldId="21" dataDxfId="4">
      <calculatedColumnFormula>I2-M2</calculatedColumnFormula>
    </tableColumn>
    <tableColumn id="20" xr3:uid="{A231E8D9-700E-4A5B-B381-B834C10D0ED6}" uniqueName="20" name="Age_Group" queryTableFieldId="22" dataDxfId="3">
      <calculatedColumnFormula>IF(B2&lt;40,"30-39",
IF(B2&lt;50,"40-49",
IF(B2&lt;60,"50-59",
IF(B2&lt;70,"60-69",
"70+"))))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665E-CD13-4C92-B138-9BD072D5E61E}">
  <sheetPr>
    <tabColor rgb="FFC00000"/>
  </sheetPr>
  <dimension ref="A1:I27"/>
  <sheetViews>
    <sheetView workbookViewId="0">
      <selection activeCell="F25" sqref="F25"/>
    </sheetView>
  </sheetViews>
  <sheetFormatPr defaultRowHeight="14.5" x14ac:dyDescent="0.35"/>
  <cols>
    <col min="1" max="1" width="17.08984375" bestFit="1" customWidth="1"/>
    <col min="2" max="2" width="15.6328125" bestFit="1" customWidth="1"/>
    <col min="3" max="3" width="12.36328125" customWidth="1"/>
    <col min="4" max="4" width="10.6328125" customWidth="1"/>
    <col min="5" max="5" width="12.54296875" bestFit="1" customWidth="1"/>
    <col min="6" max="6" width="27" bestFit="1" customWidth="1"/>
    <col min="7" max="7" width="13" bestFit="1" customWidth="1"/>
    <col min="8" max="8" width="12.54296875" bestFit="1" customWidth="1"/>
    <col min="9" max="9" width="17.08984375" bestFit="1" customWidth="1"/>
  </cols>
  <sheetData>
    <row r="1" spans="1:9" ht="18.5" x14ac:dyDescent="0.45">
      <c r="B1" s="4"/>
      <c r="D1" s="4" t="s">
        <v>383</v>
      </c>
    </row>
    <row r="2" spans="1:9" x14ac:dyDescent="0.35">
      <c r="A2" s="5" t="s">
        <v>384</v>
      </c>
      <c r="E2" t="s">
        <v>386</v>
      </c>
    </row>
    <row r="3" spans="1:9" x14ac:dyDescent="0.35">
      <c r="A3" s="2" t="s">
        <v>377</v>
      </c>
      <c r="B3" t="s">
        <v>379</v>
      </c>
      <c r="E3" s="2" t="s">
        <v>379</v>
      </c>
      <c r="F3" s="2" t="s">
        <v>380</v>
      </c>
    </row>
    <row r="4" spans="1:9" x14ac:dyDescent="0.35">
      <c r="A4" s="3" t="s">
        <v>381</v>
      </c>
      <c r="B4" s="11">
        <v>317</v>
      </c>
      <c r="E4" s="2" t="s">
        <v>377</v>
      </c>
      <c r="F4" t="s">
        <v>382</v>
      </c>
      <c r="G4" t="s">
        <v>381</v>
      </c>
    </row>
    <row r="5" spans="1:9" x14ac:dyDescent="0.35">
      <c r="A5" s="3" t="s">
        <v>382</v>
      </c>
      <c r="B5" s="11">
        <v>33</v>
      </c>
      <c r="E5" s="3" t="s">
        <v>15</v>
      </c>
      <c r="F5" s="6">
        <v>0.15238095238095239</v>
      </c>
      <c r="G5" s="6">
        <v>0.84761904761904761</v>
      </c>
    </row>
    <row r="6" spans="1:9" x14ac:dyDescent="0.35">
      <c r="A6" s="3" t="s">
        <v>378</v>
      </c>
      <c r="B6" s="11">
        <v>350</v>
      </c>
      <c r="E6" s="3" t="s">
        <v>6</v>
      </c>
      <c r="F6" s="6">
        <v>0.11363636363636363</v>
      </c>
      <c r="G6" s="6">
        <v>0.88636363636363635</v>
      </c>
    </row>
    <row r="7" spans="1:9" x14ac:dyDescent="0.35">
      <c r="E7" s="3" t="s">
        <v>3</v>
      </c>
      <c r="F7" s="6">
        <v>1.7699115044247787E-2</v>
      </c>
      <c r="G7" s="6">
        <v>0.98230088495575218</v>
      </c>
    </row>
    <row r="9" spans="1:9" x14ac:dyDescent="0.35">
      <c r="A9" s="5" t="s">
        <v>387</v>
      </c>
      <c r="E9" s="5" t="s">
        <v>391</v>
      </c>
    </row>
    <row r="10" spans="1:9" x14ac:dyDescent="0.35">
      <c r="A10" s="2" t="s">
        <v>379</v>
      </c>
      <c r="B10" s="2" t="s">
        <v>380</v>
      </c>
      <c r="E10" s="2" t="s">
        <v>377</v>
      </c>
      <c r="F10" t="s">
        <v>390</v>
      </c>
    </row>
    <row r="11" spans="1:9" x14ac:dyDescent="0.35">
      <c r="A11" s="2" t="s">
        <v>377</v>
      </c>
      <c r="B11" t="s">
        <v>382</v>
      </c>
      <c r="C11" t="s">
        <v>381</v>
      </c>
      <c r="E11" s="3" t="s">
        <v>381</v>
      </c>
      <c r="F11" s="7">
        <v>7.8107255520504735</v>
      </c>
    </row>
    <row r="12" spans="1:9" x14ac:dyDescent="0.35">
      <c r="A12" s="3" t="s">
        <v>13</v>
      </c>
      <c r="B12" s="6">
        <v>0.21052631578947367</v>
      </c>
      <c r="C12" s="6">
        <v>0.78947368421052633</v>
      </c>
      <c r="E12" s="3" t="s">
        <v>382</v>
      </c>
      <c r="F12" s="7">
        <v>13.090909090909092</v>
      </c>
    </row>
    <row r="13" spans="1:9" ht="26" x14ac:dyDescent="0.6">
      <c r="A13" s="3" t="s">
        <v>19</v>
      </c>
      <c r="B13" s="6">
        <v>0.13114754098360656</v>
      </c>
      <c r="C13" s="6">
        <v>0.86885245901639341</v>
      </c>
      <c r="E13" s="8"/>
      <c r="F13" s="9"/>
      <c r="G13" s="9" t="s">
        <v>392</v>
      </c>
    </row>
    <row r="14" spans="1:9" x14ac:dyDescent="0.35">
      <c r="A14" s="3" t="s">
        <v>5</v>
      </c>
      <c r="B14" s="6">
        <v>9.8360655737704916E-2</v>
      </c>
      <c r="C14" s="6">
        <v>0.90163934426229508</v>
      </c>
      <c r="E14" s="5" t="s">
        <v>393</v>
      </c>
      <c r="H14" s="5" t="s">
        <v>394</v>
      </c>
    </row>
    <row r="15" spans="1:9" x14ac:dyDescent="0.35">
      <c r="A15" s="3" t="s">
        <v>10</v>
      </c>
      <c r="B15" s="6">
        <v>5.8823529411764705E-2</v>
      </c>
      <c r="C15" s="6">
        <v>0.94117647058823528</v>
      </c>
      <c r="E15" s="2" t="s">
        <v>377</v>
      </c>
      <c r="F15" t="s">
        <v>379</v>
      </c>
      <c r="H15" s="2" t="s">
        <v>377</v>
      </c>
      <c r="I15" t="s">
        <v>379</v>
      </c>
    </row>
    <row r="16" spans="1:9" x14ac:dyDescent="0.35">
      <c r="A16" s="3" t="s">
        <v>8</v>
      </c>
      <c r="B16" s="6">
        <v>5.1724137931034482E-2</v>
      </c>
      <c r="C16" s="6">
        <v>0.94827586206896552</v>
      </c>
      <c r="E16" s="3" t="s">
        <v>382</v>
      </c>
      <c r="F16" s="11">
        <v>33</v>
      </c>
      <c r="H16" s="3" t="s">
        <v>381</v>
      </c>
      <c r="I16" s="6">
        <v>0.90571428571428569</v>
      </c>
    </row>
    <row r="17" spans="1:9" x14ac:dyDescent="0.35">
      <c r="A17" s="3" t="s">
        <v>2</v>
      </c>
      <c r="B17" s="6">
        <v>0</v>
      </c>
      <c r="C17" s="6">
        <v>1</v>
      </c>
      <c r="E17" s="3" t="s">
        <v>381</v>
      </c>
      <c r="F17" s="11">
        <v>317</v>
      </c>
      <c r="H17" s="3" t="s">
        <v>382</v>
      </c>
      <c r="I17" s="6">
        <v>9.4285714285714292E-2</v>
      </c>
    </row>
    <row r="18" spans="1:9" x14ac:dyDescent="0.35">
      <c r="E18" s="3" t="s">
        <v>378</v>
      </c>
      <c r="F18" s="11">
        <v>350</v>
      </c>
      <c r="H18" s="3" t="s">
        <v>378</v>
      </c>
      <c r="I18" s="6">
        <v>1</v>
      </c>
    </row>
    <row r="20" spans="1:9" x14ac:dyDescent="0.35">
      <c r="A20" t="s">
        <v>386</v>
      </c>
    </row>
    <row r="21" spans="1:9" x14ac:dyDescent="0.35">
      <c r="A21" s="2" t="s">
        <v>379</v>
      </c>
      <c r="B21" s="2" t="s">
        <v>380</v>
      </c>
    </row>
    <row r="22" spans="1:9" x14ac:dyDescent="0.35">
      <c r="A22" s="2" t="s">
        <v>377</v>
      </c>
      <c r="B22" t="s">
        <v>381</v>
      </c>
      <c r="C22" t="s">
        <v>382</v>
      </c>
    </row>
    <row r="23" spans="1:9" x14ac:dyDescent="0.35">
      <c r="A23" s="3" t="s">
        <v>396</v>
      </c>
      <c r="B23" s="6">
        <v>0.93333333333333335</v>
      </c>
      <c r="C23" s="6">
        <v>6.6666666666666666E-2</v>
      </c>
    </row>
    <row r="24" spans="1:9" x14ac:dyDescent="0.35">
      <c r="A24" s="3" t="s">
        <v>397</v>
      </c>
      <c r="B24" s="6">
        <v>0.85245901639344257</v>
      </c>
      <c r="C24" s="6">
        <v>0.14754098360655737</v>
      </c>
    </row>
    <row r="25" spans="1:9" x14ac:dyDescent="0.35">
      <c r="A25" s="3" t="s">
        <v>398</v>
      </c>
      <c r="B25" s="6">
        <v>0.90909090909090906</v>
      </c>
      <c r="C25" s="6">
        <v>9.0909090909090912E-2</v>
      </c>
    </row>
    <row r="26" spans="1:9" x14ac:dyDescent="0.35">
      <c r="A26" s="3" t="s">
        <v>399</v>
      </c>
      <c r="B26" s="6">
        <v>0.88135593220338981</v>
      </c>
      <c r="C26" s="6">
        <v>0.11864406779661017</v>
      </c>
    </row>
    <row r="27" spans="1:9" x14ac:dyDescent="0.35">
      <c r="A27" s="3" t="s">
        <v>400</v>
      </c>
      <c r="B27" s="6">
        <v>0.93269230769230771</v>
      </c>
      <c r="C27" s="6">
        <v>6.7307692307692304E-2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2C1B-3186-4DD8-B2FF-7C7ED1B0D4FB}">
  <sheetPr>
    <tabColor rgb="FF1F4E79"/>
  </sheetPr>
  <dimension ref="A1:T351"/>
  <sheetViews>
    <sheetView topLeftCell="I1" workbookViewId="0">
      <selection activeCell="U2" sqref="U2:U351"/>
    </sheetView>
  </sheetViews>
  <sheetFormatPr defaultRowHeight="14.5" x14ac:dyDescent="0.35"/>
  <cols>
    <col min="1" max="8" width="10.7265625" bestFit="1" customWidth="1"/>
    <col min="9" max="9" width="14.7265625" customWidth="1"/>
    <col min="10" max="10" width="21.36328125" bestFit="1" customWidth="1"/>
    <col min="11" max="16" width="11.7265625" bestFit="1" customWidth="1"/>
    <col min="17" max="17" width="12.54296875" customWidth="1"/>
    <col min="19" max="19" width="17.453125" customWidth="1"/>
  </cols>
  <sheetData>
    <row r="1" spans="1:20" x14ac:dyDescent="0.35">
      <c r="A1" t="s">
        <v>365</v>
      </c>
      <c r="B1" t="s">
        <v>361</v>
      </c>
      <c r="C1" t="s">
        <v>362</v>
      </c>
      <c r="D1" t="s">
        <v>363</v>
      </c>
      <c r="E1" t="s">
        <v>364</v>
      </c>
      <c r="F1" t="s">
        <v>366</v>
      </c>
      <c r="G1" t="s">
        <v>367</v>
      </c>
      <c r="H1" t="s">
        <v>368</v>
      </c>
      <c r="I1" t="s">
        <v>369</v>
      </c>
      <c r="J1" t="s">
        <v>370</v>
      </c>
      <c r="K1" t="s">
        <v>376</v>
      </c>
      <c r="L1" t="s">
        <v>371</v>
      </c>
      <c r="M1" t="s">
        <v>375</v>
      </c>
      <c r="N1" t="s">
        <v>372</v>
      </c>
      <c r="O1" t="s">
        <v>374</v>
      </c>
      <c r="P1" t="s">
        <v>373</v>
      </c>
      <c r="Q1" t="s">
        <v>385</v>
      </c>
      <c r="R1" t="s">
        <v>388</v>
      </c>
      <c r="S1" t="s">
        <v>389</v>
      </c>
      <c r="T1" t="s">
        <v>395</v>
      </c>
    </row>
    <row r="2" spans="1:20" x14ac:dyDescent="0.35">
      <c r="A2" t="s">
        <v>0</v>
      </c>
      <c r="B2">
        <v>70</v>
      </c>
      <c r="C2" t="s">
        <v>1</v>
      </c>
      <c r="D2">
        <v>1</v>
      </c>
      <c r="E2">
        <v>0</v>
      </c>
      <c r="F2">
        <v>1</v>
      </c>
      <c r="G2">
        <v>1</v>
      </c>
      <c r="H2">
        <v>148</v>
      </c>
      <c r="I2">
        <v>113</v>
      </c>
      <c r="J2" t="s">
        <v>2</v>
      </c>
      <c r="K2" t="s">
        <v>3</v>
      </c>
      <c r="L2">
        <v>142</v>
      </c>
      <c r="M2">
        <v>110</v>
      </c>
      <c r="N2">
        <v>0</v>
      </c>
      <c r="O2">
        <v>1</v>
      </c>
      <c r="P2" s="1">
        <v>45307</v>
      </c>
      <c r="Q2" t="str">
        <f>IF(Hypertension_data[[#This Row],[BP_Controlled_After_3_Months]]=1,"Controlled","Not Controlled")</f>
        <v>Not Controlled</v>
      </c>
      <c r="R2">
        <f t="shared" ref="R2:R65" si="0">H2-L2</f>
        <v>6</v>
      </c>
      <c r="S2">
        <f>I2-M2</f>
        <v>3</v>
      </c>
      <c r="T2" s="11" t="str">
        <f t="shared" ref="T2:T65" si="1">IF(B2&lt;40,"30-39",
IF(B2&lt;50,"40-49",
IF(B2&lt;60,"50-59",
IF(B2&lt;70,"60-69",
"70+"))))</f>
        <v>70+</v>
      </c>
    </row>
    <row r="3" spans="1:20" x14ac:dyDescent="0.35">
      <c r="A3" t="s">
        <v>4</v>
      </c>
      <c r="B3">
        <v>35</v>
      </c>
      <c r="C3" t="s">
        <v>1</v>
      </c>
      <c r="D3">
        <v>1</v>
      </c>
      <c r="E3">
        <v>1</v>
      </c>
      <c r="F3">
        <v>1</v>
      </c>
      <c r="G3">
        <v>0</v>
      </c>
      <c r="H3">
        <v>154</v>
      </c>
      <c r="I3">
        <v>104</v>
      </c>
      <c r="J3" t="s">
        <v>5</v>
      </c>
      <c r="K3" t="s">
        <v>6</v>
      </c>
      <c r="L3">
        <v>144</v>
      </c>
      <c r="M3">
        <v>98</v>
      </c>
      <c r="N3">
        <v>0</v>
      </c>
      <c r="O3">
        <v>3</v>
      </c>
      <c r="P3" s="1">
        <v>45434</v>
      </c>
      <c r="Q3" t="str">
        <f>IF(Hypertension_data[[#This Row],[BP_Controlled_After_3_Months]]=1,"Controlled","Not Controlled")</f>
        <v>Not Controlled</v>
      </c>
      <c r="R3">
        <f t="shared" si="0"/>
        <v>10</v>
      </c>
      <c r="S3">
        <f t="shared" ref="S3:S65" si="2">I3-M3</f>
        <v>6</v>
      </c>
      <c r="T3" s="11" t="str">
        <f t="shared" si="1"/>
        <v>30-39</v>
      </c>
    </row>
    <row r="4" spans="1:20" x14ac:dyDescent="0.35">
      <c r="A4" t="s">
        <v>7</v>
      </c>
      <c r="B4">
        <v>39</v>
      </c>
      <c r="C4" t="s">
        <v>1</v>
      </c>
      <c r="D4">
        <v>0</v>
      </c>
      <c r="E4">
        <v>1</v>
      </c>
      <c r="F4">
        <v>1</v>
      </c>
      <c r="G4">
        <v>0</v>
      </c>
      <c r="H4">
        <v>146</v>
      </c>
      <c r="I4">
        <v>101</v>
      </c>
      <c r="J4" t="s">
        <v>8</v>
      </c>
      <c r="K4" t="s">
        <v>3</v>
      </c>
      <c r="L4">
        <v>139</v>
      </c>
      <c r="M4">
        <v>97</v>
      </c>
      <c r="N4">
        <v>0</v>
      </c>
      <c r="O4">
        <v>5</v>
      </c>
      <c r="P4" s="1">
        <v>45355</v>
      </c>
      <c r="Q4" t="str">
        <f>IF(Hypertension_data[[#This Row],[BP_Controlled_After_3_Months]]=1,"Controlled","Not Controlled")</f>
        <v>Not Controlled</v>
      </c>
      <c r="R4">
        <f t="shared" si="0"/>
        <v>7</v>
      </c>
      <c r="S4">
        <f t="shared" si="2"/>
        <v>4</v>
      </c>
      <c r="T4" s="11" t="str">
        <f t="shared" si="1"/>
        <v>30-39</v>
      </c>
    </row>
    <row r="5" spans="1:20" x14ac:dyDescent="0.35">
      <c r="A5" t="s">
        <v>9</v>
      </c>
      <c r="B5">
        <v>54</v>
      </c>
      <c r="C5" t="s">
        <v>1</v>
      </c>
      <c r="D5">
        <v>0</v>
      </c>
      <c r="E5">
        <v>0</v>
      </c>
      <c r="F5">
        <v>1</v>
      </c>
      <c r="G5">
        <v>1</v>
      </c>
      <c r="H5">
        <v>142</v>
      </c>
      <c r="I5">
        <v>111</v>
      </c>
      <c r="J5" t="s">
        <v>10</v>
      </c>
      <c r="K5" t="s">
        <v>6</v>
      </c>
      <c r="L5">
        <v>131</v>
      </c>
      <c r="M5">
        <v>105</v>
      </c>
      <c r="N5">
        <v>0</v>
      </c>
      <c r="O5">
        <v>4</v>
      </c>
      <c r="P5" s="1">
        <v>45434</v>
      </c>
      <c r="Q5" t="str">
        <f>IF(Hypertension_data[[#This Row],[BP_Controlled_After_3_Months]]=1,"Controlled","Not Controlled")</f>
        <v>Not Controlled</v>
      </c>
      <c r="R5">
        <f t="shared" si="0"/>
        <v>11</v>
      </c>
      <c r="S5">
        <f t="shared" si="2"/>
        <v>6</v>
      </c>
      <c r="T5" s="11" t="str">
        <f t="shared" si="1"/>
        <v>50-59</v>
      </c>
    </row>
    <row r="6" spans="1:20" x14ac:dyDescent="0.35">
      <c r="A6" t="s">
        <v>11</v>
      </c>
      <c r="B6">
        <v>59</v>
      </c>
      <c r="C6" t="s">
        <v>12</v>
      </c>
      <c r="D6">
        <v>1</v>
      </c>
      <c r="E6">
        <v>0</v>
      </c>
      <c r="F6">
        <v>0</v>
      </c>
      <c r="G6">
        <v>1</v>
      </c>
      <c r="H6">
        <v>182</v>
      </c>
      <c r="I6">
        <v>98</v>
      </c>
      <c r="J6" t="s">
        <v>13</v>
      </c>
      <c r="K6" t="s">
        <v>3</v>
      </c>
      <c r="L6">
        <v>166</v>
      </c>
      <c r="M6">
        <v>89</v>
      </c>
      <c r="N6">
        <v>0</v>
      </c>
      <c r="O6">
        <v>5</v>
      </c>
      <c r="P6" s="1">
        <v>45417</v>
      </c>
      <c r="Q6" t="str">
        <f>IF(Hypertension_data[[#This Row],[BP_Controlled_After_3_Months]]=1,"Controlled","Not Controlled")</f>
        <v>Not Controlled</v>
      </c>
      <c r="R6">
        <f t="shared" si="0"/>
        <v>16</v>
      </c>
      <c r="S6">
        <f t="shared" si="2"/>
        <v>9</v>
      </c>
      <c r="T6" s="11" t="str">
        <f t="shared" si="1"/>
        <v>50-59</v>
      </c>
    </row>
    <row r="7" spans="1:20" x14ac:dyDescent="0.35">
      <c r="A7" t="s">
        <v>14</v>
      </c>
      <c r="B7">
        <v>40</v>
      </c>
      <c r="C7" t="s">
        <v>12</v>
      </c>
      <c r="D7">
        <v>0</v>
      </c>
      <c r="E7">
        <v>0</v>
      </c>
      <c r="F7">
        <v>1</v>
      </c>
      <c r="G7">
        <v>0</v>
      </c>
      <c r="H7">
        <v>189</v>
      </c>
      <c r="I7">
        <v>114</v>
      </c>
      <c r="J7" t="s">
        <v>2</v>
      </c>
      <c r="K7" t="s">
        <v>15</v>
      </c>
      <c r="L7">
        <v>173</v>
      </c>
      <c r="M7">
        <v>105</v>
      </c>
      <c r="N7">
        <v>0</v>
      </c>
      <c r="O7">
        <v>3</v>
      </c>
      <c r="P7" s="1">
        <v>45325</v>
      </c>
      <c r="Q7" t="str">
        <f>IF(Hypertension_data[[#This Row],[BP_Controlled_After_3_Months]]=1,"Controlled","Not Controlled")</f>
        <v>Not Controlled</v>
      </c>
      <c r="R7">
        <f t="shared" si="0"/>
        <v>16</v>
      </c>
      <c r="S7">
        <f t="shared" si="2"/>
        <v>9</v>
      </c>
      <c r="T7" s="11" t="str">
        <f t="shared" si="1"/>
        <v>40-49</v>
      </c>
    </row>
    <row r="8" spans="1:20" x14ac:dyDescent="0.35">
      <c r="A8" t="s">
        <v>16</v>
      </c>
      <c r="B8">
        <v>43</v>
      </c>
      <c r="C8" t="s">
        <v>12</v>
      </c>
      <c r="D8">
        <v>1</v>
      </c>
      <c r="E8">
        <v>0</v>
      </c>
      <c r="F8">
        <v>0</v>
      </c>
      <c r="G8">
        <v>0</v>
      </c>
      <c r="H8">
        <v>149</v>
      </c>
      <c r="I8">
        <v>98</v>
      </c>
      <c r="J8" t="s">
        <v>10</v>
      </c>
      <c r="K8" t="s">
        <v>15</v>
      </c>
      <c r="L8">
        <v>126</v>
      </c>
      <c r="M8">
        <v>85</v>
      </c>
      <c r="N8">
        <v>1</v>
      </c>
      <c r="O8">
        <v>5</v>
      </c>
      <c r="P8" s="1">
        <v>45496</v>
      </c>
      <c r="Q8" t="str">
        <f>IF(Hypertension_data[[#This Row],[BP_Controlled_After_3_Months]]=1,"Controlled","Not Controlled")</f>
        <v>Controlled</v>
      </c>
      <c r="R8">
        <f t="shared" si="0"/>
        <v>23</v>
      </c>
      <c r="S8">
        <f t="shared" si="2"/>
        <v>13</v>
      </c>
      <c r="T8" s="11" t="str">
        <f t="shared" si="1"/>
        <v>40-49</v>
      </c>
    </row>
    <row r="9" spans="1:20" x14ac:dyDescent="0.35">
      <c r="A9" t="s">
        <v>17</v>
      </c>
      <c r="B9">
        <v>53</v>
      </c>
      <c r="C9" t="s">
        <v>1</v>
      </c>
      <c r="D9">
        <v>1</v>
      </c>
      <c r="E9">
        <v>0</v>
      </c>
      <c r="F9">
        <v>1</v>
      </c>
      <c r="G9">
        <v>1</v>
      </c>
      <c r="H9">
        <v>147</v>
      </c>
      <c r="I9">
        <v>94</v>
      </c>
      <c r="J9" t="s">
        <v>13</v>
      </c>
      <c r="K9" t="s">
        <v>15</v>
      </c>
      <c r="L9">
        <v>111</v>
      </c>
      <c r="M9">
        <v>73</v>
      </c>
      <c r="N9">
        <v>1</v>
      </c>
      <c r="O9">
        <v>4</v>
      </c>
      <c r="P9" s="1">
        <v>45597</v>
      </c>
      <c r="Q9" t="str">
        <f>IF(Hypertension_data[[#This Row],[BP_Controlled_After_3_Months]]=1,"Controlled","Not Controlled")</f>
        <v>Controlled</v>
      </c>
      <c r="R9">
        <f t="shared" si="0"/>
        <v>36</v>
      </c>
      <c r="S9">
        <f t="shared" si="2"/>
        <v>21</v>
      </c>
      <c r="T9" s="11" t="str">
        <f t="shared" si="1"/>
        <v>50-59</v>
      </c>
    </row>
    <row r="10" spans="1:20" x14ac:dyDescent="0.35">
      <c r="A10" t="s">
        <v>18</v>
      </c>
      <c r="B10">
        <v>59</v>
      </c>
      <c r="C10" t="s">
        <v>12</v>
      </c>
      <c r="D10">
        <v>1</v>
      </c>
      <c r="E10">
        <v>1</v>
      </c>
      <c r="F10">
        <v>0</v>
      </c>
      <c r="G10">
        <v>0</v>
      </c>
      <c r="H10">
        <v>147</v>
      </c>
      <c r="I10">
        <v>99</v>
      </c>
      <c r="J10" t="s">
        <v>19</v>
      </c>
      <c r="K10" t="s">
        <v>15</v>
      </c>
      <c r="L10">
        <v>118</v>
      </c>
      <c r="M10">
        <v>82</v>
      </c>
      <c r="N10">
        <v>1</v>
      </c>
      <c r="O10">
        <v>5</v>
      </c>
      <c r="P10" s="1">
        <v>45383</v>
      </c>
      <c r="Q10" t="str">
        <f>IF(Hypertension_data[[#This Row],[BP_Controlled_After_3_Months]]=1,"Controlled","Not Controlled")</f>
        <v>Controlled</v>
      </c>
      <c r="R10">
        <f t="shared" si="0"/>
        <v>29</v>
      </c>
      <c r="S10">
        <f t="shared" si="2"/>
        <v>17</v>
      </c>
      <c r="T10" s="11" t="str">
        <f t="shared" si="1"/>
        <v>50-59</v>
      </c>
    </row>
    <row r="11" spans="1:20" x14ac:dyDescent="0.35">
      <c r="A11" t="s">
        <v>20</v>
      </c>
      <c r="B11">
        <v>62</v>
      </c>
      <c r="C11" t="s">
        <v>1</v>
      </c>
      <c r="D11">
        <v>0</v>
      </c>
      <c r="E11">
        <v>1</v>
      </c>
      <c r="F11">
        <v>1</v>
      </c>
      <c r="G11">
        <v>0</v>
      </c>
      <c r="H11">
        <v>188</v>
      </c>
      <c r="I11">
        <v>95</v>
      </c>
      <c r="J11" t="s">
        <v>5</v>
      </c>
      <c r="K11" t="s">
        <v>3</v>
      </c>
      <c r="L11">
        <v>183</v>
      </c>
      <c r="M11">
        <v>92</v>
      </c>
      <c r="N11">
        <v>0</v>
      </c>
      <c r="O11">
        <v>4</v>
      </c>
      <c r="P11" s="1">
        <v>45301</v>
      </c>
      <c r="Q11" t="str">
        <f>IF(Hypertension_data[[#This Row],[BP_Controlled_After_3_Months]]=1,"Controlled","Not Controlled")</f>
        <v>Not Controlled</v>
      </c>
      <c r="R11">
        <f t="shared" si="0"/>
        <v>5</v>
      </c>
      <c r="S11">
        <f t="shared" si="2"/>
        <v>3</v>
      </c>
      <c r="T11" s="11" t="str">
        <f t="shared" si="1"/>
        <v>60-69</v>
      </c>
    </row>
    <row r="12" spans="1:20" x14ac:dyDescent="0.35">
      <c r="A12" t="s">
        <v>21</v>
      </c>
      <c r="B12">
        <v>37</v>
      </c>
      <c r="C12" t="s">
        <v>12</v>
      </c>
      <c r="D12">
        <v>0</v>
      </c>
      <c r="E12">
        <v>1</v>
      </c>
      <c r="F12">
        <v>1</v>
      </c>
      <c r="G12">
        <v>1</v>
      </c>
      <c r="H12">
        <v>176</v>
      </c>
      <c r="I12">
        <v>120</v>
      </c>
      <c r="J12" t="s">
        <v>2</v>
      </c>
      <c r="K12" t="s">
        <v>15</v>
      </c>
      <c r="L12">
        <v>146</v>
      </c>
      <c r="M12">
        <v>102</v>
      </c>
      <c r="N12">
        <v>0</v>
      </c>
      <c r="O12">
        <v>2</v>
      </c>
      <c r="P12" s="1">
        <v>45357</v>
      </c>
      <c r="Q12" t="str">
        <f>IF(Hypertension_data[[#This Row],[BP_Controlled_After_3_Months]]=1,"Controlled","Not Controlled")</f>
        <v>Not Controlled</v>
      </c>
      <c r="R12">
        <f t="shared" si="0"/>
        <v>30</v>
      </c>
      <c r="S12">
        <f t="shared" si="2"/>
        <v>18</v>
      </c>
      <c r="T12" s="11" t="str">
        <f t="shared" si="1"/>
        <v>30-39</v>
      </c>
    </row>
    <row r="13" spans="1:20" x14ac:dyDescent="0.35">
      <c r="A13" t="s">
        <v>22</v>
      </c>
      <c r="B13">
        <v>72</v>
      </c>
      <c r="C13" t="s">
        <v>12</v>
      </c>
      <c r="D13">
        <v>1</v>
      </c>
      <c r="E13">
        <v>0</v>
      </c>
      <c r="F13">
        <v>0</v>
      </c>
      <c r="G13">
        <v>1</v>
      </c>
      <c r="H13">
        <v>174</v>
      </c>
      <c r="I13">
        <v>114</v>
      </c>
      <c r="J13" t="s">
        <v>13</v>
      </c>
      <c r="K13" t="s">
        <v>3</v>
      </c>
      <c r="L13">
        <v>158</v>
      </c>
      <c r="M13">
        <v>105</v>
      </c>
      <c r="N13">
        <v>0</v>
      </c>
      <c r="O13">
        <v>6</v>
      </c>
      <c r="P13" s="1">
        <v>45483</v>
      </c>
      <c r="Q13" t="str">
        <f>IF(Hypertension_data[[#This Row],[BP_Controlled_After_3_Months]]=1,"Controlled","Not Controlled")</f>
        <v>Not Controlled</v>
      </c>
      <c r="R13">
        <f t="shared" si="0"/>
        <v>16</v>
      </c>
      <c r="S13">
        <f t="shared" si="2"/>
        <v>9</v>
      </c>
      <c r="T13" s="11" t="str">
        <f t="shared" si="1"/>
        <v>70+</v>
      </c>
    </row>
    <row r="14" spans="1:20" x14ac:dyDescent="0.35">
      <c r="A14" t="s">
        <v>23</v>
      </c>
      <c r="B14">
        <v>58</v>
      </c>
      <c r="C14" t="s">
        <v>12</v>
      </c>
      <c r="D14">
        <v>1</v>
      </c>
      <c r="E14">
        <v>1</v>
      </c>
      <c r="F14">
        <v>1</v>
      </c>
      <c r="G14">
        <v>1</v>
      </c>
      <c r="H14">
        <v>161</v>
      </c>
      <c r="I14">
        <v>90</v>
      </c>
      <c r="J14" t="s">
        <v>5</v>
      </c>
      <c r="K14" t="s">
        <v>3</v>
      </c>
      <c r="L14">
        <v>158</v>
      </c>
      <c r="M14">
        <v>89</v>
      </c>
      <c r="N14">
        <v>0</v>
      </c>
      <c r="O14">
        <v>1</v>
      </c>
      <c r="P14" s="1">
        <v>45328</v>
      </c>
      <c r="Q14" t="str">
        <f>IF(Hypertension_data[[#This Row],[BP_Controlled_After_3_Months]]=1,"Controlled","Not Controlled")</f>
        <v>Not Controlled</v>
      </c>
      <c r="R14">
        <f t="shared" si="0"/>
        <v>3</v>
      </c>
      <c r="S14">
        <f t="shared" si="2"/>
        <v>1</v>
      </c>
      <c r="T14" s="11" t="str">
        <f t="shared" si="1"/>
        <v>50-59</v>
      </c>
    </row>
    <row r="15" spans="1:20" x14ac:dyDescent="0.35">
      <c r="A15" t="s">
        <v>24</v>
      </c>
      <c r="B15">
        <v>75</v>
      </c>
      <c r="C15" t="s">
        <v>1</v>
      </c>
      <c r="D15">
        <v>1</v>
      </c>
      <c r="E15">
        <v>1</v>
      </c>
      <c r="F15">
        <v>1</v>
      </c>
      <c r="G15">
        <v>0</v>
      </c>
      <c r="H15">
        <v>144</v>
      </c>
      <c r="I15">
        <v>106</v>
      </c>
      <c r="J15" t="s">
        <v>10</v>
      </c>
      <c r="K15" t="s">
        <v>6</v>
      </c>
      <c r="L15">
        <v>133</v>
      </c>
      <c r="M15">
        <v>100</v>
      </c>
      <c r="N15">
        <v>0</v>
      </c>
      <c r="O15">
        <v>2</v>
      </c>
      <c r="P15" s="1">
        <v>45584</v>
      </c>
      <c r="Q15" t="str">
        <f>IF(Hypertension_data[[#This Row],[BP_Controlled_After_3_Months]]=1,"Controlled","Not Controlled")</f>
        <v>Not Controlled</v>
      </c>
      <c r="R15">
        <f t="shared" si="0"/>
        <v>11</v>
      </c>
      <c r="S15">
        <f t="shared" si="2"/>
        <v>6</v>
      </c>
      <c r="T15" s="11" t="str">
        <f t="shared" si="1"/>
        <v>70+</v>
      </c>
    </row>
    <row r="16" spans="1:20" x14ac:dyDescent="0.35">
      <c r="A16" t="s">
        <v>25</v>
      </c>
      <c r="B16">
        <v>66</v>
      </c>
      <c r="C16" t="s">
        <v>12</v>
      </c>
      <c r="D16">
        <v>1</v>
      </c>
      <c r="E16">
        <v>0</v>
      </c>
      <c r="F16">
        <v>0</v>
      </c>
      <c r="G16">
        <v>1</v>
      </c>
      <c r="H16">
        <v>146</v>
      </c>
      <c r="I16">
        <v>93</v>
      </c>
      <c r="J16" t="s">
        <v>13</v>
      </c>
      <c r="K16" t="s">
        <v>6</v>
      </c>
      <c r="L16">
        <v>124</v>
      </c>
      <c r="M16">
        <v>80</v>
      </c>
      <c r="N16">
        <v>1</v>
      </c>
      <c r="O16">
        <v>6</v>
      </c>
      <c r="P16" s="1">
        <v>45319</v>
      </c>
      <c r="Q16" t="str">
        <f>IF(Hypertension_data[[#This Row],[BP_Controlled_After_3_Months]]=1,"Controlled","Not Controlled")</f>
        <v>Controlled</v>
      </c>
      <c r="R16">
        <f t="shared" si="0"/>
        <v>22</v>
      </c>
      <c r="S16">
        <f t="shared" si="2"/>
        <v>13</v>
      </c>
      <c r="T16" s="11" t="str">
        <f t="shared" si="1"/>
        <v>60-69</v>
      </c>
    </row>
    <row r="17" spans="1:20" x14ac:dyDescent="0.35">
      <c r="A17" t="s">
        <v>26</v>
      </c>
      <c r="B17">
        <v>73</v>
      </c>
      <c r="C17" t="s">
        <v>1</v>
      </c>
      <c r="D17">
        <v>1</v>
      </c>
      <c r="E17">
        <v>0</v>
      </c>
      <c r="F17">
        <v>0</v>
      </c>
      <c r="G17">
        <v>1</v>
      </c>
      <c r="H17">
        <v>155</v>
      </c>
      <c r="I17">
        <v>96</v>
      </c>
      <c r="J17" t="s">
        <v>10</v>
      </c>
      <c r="K17" t="s">
        <v>3</v>
      </c>
      <c r="L17">
        <v>149</v>
      </c>
      <c r="M17">
        <v>93</v>
      </c>
      <c r="N17">
        <v>0</v>
      </c>
      <c r="O17">
        <v>2</v>
      </c>
      <c r="P17" s="1">
        <v>45434</v>
      </c>
      <c r="Q17" t="str">
        <f>IF(Hypertension_data[[#This Row],[BP_Controlled_After_3_Months]]=1,"Controlled","Not Controlled")</f>
        <v>Not Controlled</v>
      </c>
      <c r="R17">
        <f t="shared" si="0"/>
        <v>6</v>
      </c>
      <c r="S17">
        <f t="shared" si="2"/>
        <v>3</v>
      </c>
      <c r="T17" s="11" t="str">
        <f t="shared" si="1"/>
        <v>70+</v>
      </c>
    </row>
    <row r="18" spans="1:20" x14ac:dyDescent="0.35">
      <c r="A18" t="s">
        <v>27</v>
      </c>
      <c r="B18">
        <v>59</v>
      </c>
      <c r="C18" t="s">
        <v>1</v>
      </c>
      <c r="D18">
        <v>1</v>
      </c>
      <c r="E18">
        <v>0</v>
      </c>
      <c r="F18">
        <v>1</v>
      </c>
      <c r="G18">
        <v>1</v>
      </c>
      <c r="H18">
        <v>181</v>
      </c>
      <c r="I18">
        <v>107</v>
      </c>
      <c r="J18" t="s">
        <v>2</v>
      </c>
      <c r="K18" t="s">
        <v>15</v>
      </c>
      <c r="L18">
        <v>159</v>
      </c>
      <c r="M18">
        <v>94</v>
      </c>
      <c r="N18">
        <v>0</v>
      </c>
      <c r="O18">
        <v>4</v>
      </c>
      <c r="P18" s="1">
        <v>45538</v>
      </c>
      <c r="Q18" t="str">
        <f>IF(Hypertension_data[[#This Row],[BP_Controlled_After_3_Months]]=1,"Controlled","Not Controlled")</f>
        <v>Not Controlled</v>
      </c>
      <c r="R18">
        <f t="shared" si="0"/>
        <v>22</v>
      </c>
      <c r="S18">
        <f t="shared" si="2"/>
        <v>13</v>
      </c>
      <c r="T18" s="11" t="str">
        <f t="shared" si="1"/>
        <v>50-59</v>
      </c>
    </row>
    <row r="19" spans="1:20" x14ac:dyDescent="0.35">
      <c r="A19" t="s">
        <v>28</v>
      </c>
      <c r="B19">
        <v>43</v>
      </c>
      <c r="C19" t="s">
        <v>12</v>
      </c>
      <c r="D19">
        <v>1</v>
      </c>
      <c r="E19">
        <v>1</v>
      </c>
      <c r="F19">
        <v>0</v>
      </c>
      <c r="G19">
        <v>1</v>
      </c>
      <c r="H19">
        <v>164</v>
      </c>
      <c r="I19">
        <v>98</v>
      </c>
      <c r="J19" t="s">
        <v>19</v>
      </c>
      <c r="K19" t="s">
        <v>6</v>
      </c>
      <c r="L19">
        <v>148</v>
      </c>
      <c r="M19">
        <v>89</v>
      </c>
      <c r="N19">
        <v>0</v>
      </c>
      <c r="O19">
        <v>6</v>
      </c>
      <c r="P19" s="1">
        <v>45541</v>
      </c>
      <c r="Q19" t="str">
        <f>IF(Hypertension_data[[#This Row],[BP_Controlled_After_3_Months]]=1,"Controlled","Not Controlled")</f>
        <v>Not Controlled</v>
      </c>
      <c r="R19">
        <f t="shared" si="0"/>
        <v>16</v>
      </c>
      <c r="S19">
        <f t="shared" si="2"/>
        <v>9</v>
      </c>
      <c r="T19" s="11" t="str">
        <f t="shared" si="1"/>
        <v>40-49</v>
      </c>
    </row>
    <row r="20" spans="1:20" x14ac:dyDescent="0.35">
      <c r="A20" t="s">
        <v>29</v>
      </c>
      <c r="B20">
        <v>39</v>
      </c>
      <c r="C20" t="s">
        <v>1</v>
      </c>
      <c r="D20">
        <v>0</v>
      </c>
      <c r="E20">
        <v>1</v>
      </c>
      <c r="F20">
        <v>1</v>
      </c>
      <c r="G20">
        <v>1</v>
      </c>
      <c r="H20">
        <v>187</v>
      </c>
      <c r="I20">
        <v>100</v>
      </c>
      <c r="J20" t="s">
        <v>2</v>
      </c>
      <c r="K20" t="s">
        <v>15</v>
      </c>
      <c r="L20">
        <v>157</v>
      </c>
      <c r="M20">
        <v>82</v>
      </c>
      <c r="N20">
        <v>0</v>
      </c>
      <c r="O20">
        <v>2</v>
      </c>
      <c r="P20" s="1">
        <v>45321</v>
      </c>
      <c r="Q20" t="str">
        <f>IF(Hypertension_data[[#This Row],[BP_Controlled_After_3_Months]]=1,"Controlled","Not Controlled")</f>
        <v>Not Controlled</v>
      </c>
      <c r="R20">
        <f t="shared" si="0"/>
        <v>30</v>
      </c>
      <c r="S20">
        <f t="shared" si="2"/>
        <v>18</v>
      </c>
      <c r="T20" s="11" t="str">
        <f t="shared" si="1"/>
        <v>30-39</v>
      </c>
    </row>
    <row r="21" spans="1:20" x14ac:dyDescent="0.35">
      <c r="A21" t="s">
        <v>30</v>
      </c>
      <c r="B21">
        <v>62</v>
      </c>
      <c r="C21" t="s">
        <v>1</v>
      </c>
      <c r="D21">
        <v>1</v>
      </c>
      <c r="E21">
        <v>1</v>
      </c>
      <c r="F21">
        <v>1</v>
      </c>
      <c r="G21">
        <v>1</v>
      </c>
      <c r="H21">
        <v>165</v>
      </c>
      <c r="I21">
        <v>93</v>
      </c>
      <c r="J21" t="s">
        <v>5</v>
      </c>
      <c r="K21" t="s">
        <v>15</v>
      </c>
      <c r="L21">
        <v>149</v>
      </c>
      <c r="M21">
        <v>84</v>
      </c>
      <c r="N21">
        <v>0</v>
      </c>
      <c r="O21">
        <v>4</v>
      </c>
      <c r="P21" s="1">
        <v>45628</v>
      </c>
      <c r="Q21" t="str">
        <f>IF(Hypertension_data[[#This Row],[BP_Controlled_After_3_Months]]=1,"Controlled","Not Controlled")</f>
        <v>Not Controlled</v>
      </c>
      <c r="R21">
        <f t="shared" si="0"/>
        <v>16</v>
      </c>
      <c r="S21">
        <f t="shared" si="2"/>
        <v>9</v>
      </c>
      <c r="T21" s="11" t="str">
        <f t="shared" si="1"/>
        <v>60-69</v>
      </c>
    </row>
    <row r="22" spans="1:20" x14ac:dyDescent="0.35">
      <c r="A22" t="s">
        <v>31</v>
      </c>
      <c r="B22">
        <v>67</v>
      </c>
      <c r="C22" t="s">
        <v>12</v>
      </c>
      <c r="D22">
        <v>0</v>
      </c>
      <c r="E22">
        <v>1</v>
      </c>
      <c r="F22">
        <v>0</v>
      </c>
      <c r="G22">
        <v>1</v>
      </c>
      <c r="H22">
        <v>156</v>
      </c>
      <c r="I22">
        <v>102</v>
      </c>
      <c r="J22" t="s">
        <v>10</v>
      </c>
      <c r="K22" t="s">
        <v>3</v>
      </c>
      <c r="L22">
        <v>151</v>
      </c>
      <c r="M22">
        <v>99</v>
      </c>
      <c r="N22">
        <v>0</v>
      </c>
      <c r="O22">
        <v>1</v>
      </c>
      <c r="P22" s="1">
        <v>45296</v>
      </c>
      <c r="Q22" t="str">
        <f>IF(Hypertension_data[[#This Row],[BP_Controlled_After_3_Months]]=1,"Controlled","Not Controlled")</f>
        <v>Not Controlled</v>
      </c>
      <c r="R22">
        <f t="shared" si="0"/>
        <v>5</v>
      </c>
      <c r="S22">
        <f t="shared" si="2"/>
        <v>3</v>
      </c>
      <c r="T22" s="11" t="str">
        <f t="shared" si="1"/>
        <v>60-69</v>
      </c>
    </row>
    <row r="23" spans="1:20" x14ac:dyDescent="0.35">
      <c r="A23" t="s">
        <v>32</v>
      </c>
      <c r="B23">
        <v>59</v>
      </c>
      <c r="C23" t="s">
        <v>1</v>
      </c>
      <c r="D23">
        <v>1</v>
      </c>
      <c r="E23">
        <v>1</v>
      </c>
      <c r="F23">
        <v>0</v>
      </c>
      <c r="G23">
        <v>1</v>
      </c>
      <c r="H23">
        <v>162</v>
      </c>
      <c r="I23">
        <v>118</v>
      </c>
      <c r="J23" t="s">
        <v>2</v>
      </c>
      <c r="K23" t="s">
        <v>15</v>
      </c>
      <c r="L23">
        <v>136</v>
      </c>
      <c r="M23">
        <v>103</v>
      </c>
      <c r="N23">
        <v>0</v>
      </c>
      <c r="O23">
        <v>4</v>
      </c>
      <c r="P23" s="1">
        <v>45570</v>
      </c>
      <c r="Q23" t="str">
        <f>IF(Hypertension_data[[#This Row],[BP_Controlled_After_3_Months]]=1,"Controlled","Not Controlled")</f>
        <v>Not Controlled</v>
      </c>
      <c r="R23">
        <f t="shared" si="0"/>
        <v>26</v>
      </c>
      <c r="S23">
        <f t="shared" si="2"/>
        <v>15</v>
      </c>
      <c r="T23" s="11" t="str">
        <f t="shared" si="1"/>
        <v>50-59</v>
      </c>
    </row>
    <row r="24" spans="1:20" x14ac:dyDescent="0.35">
      <c r="A24" t="s">
        <v>33</v>
      </c>
      <c r="B24">
        <v>75</v>
      </c>
      <c r="C24" t="s">
        <v>12</v>
      </c>
      <c r="D24">
        <v>1</v>
      </c>
      <c r="E24">
        <v>0</v>
      </c>
      <c r="F24">
        <v>1</v>
      </c>
      <c r="G24">
        <v>1</v>
      </c>
      <c r="H24">
        <v>156</v>
      </c>
      <c r="I24">
        <v>93</v>
      </c>
      <c r="J24" t="s">
        <v>2</v>
      </c>
      <c r="K24" t="s">
        <v>3</v>
      </c>
      <c r="L24">
        <v>152</v>
      </c>
      <c r="M24">
        <v>91</v>
      </c>
      <c r="N24">
        <v>0</v>
      </c>
      <c r="O24">
        <v>5</v>
      </c>
      <c r="P24" s="1">
        <v>45399</v>
      </c>
      <c r="Q24" t="str">
        <f>IF(Hypertension_data[[#This Row],[BP_Controlled_After_3_Months]]=1,"Controlled","Not Controlled")</f>
        <v>Not Controlled</v>
      </c>
      <c r="R24">
        <f t="shared" si="0"/>
        <v>4</v>
      </c>
      <c r="S24">
        <f t="shared" si="2"/>
        <v>2</v>
      </c>
      <c r="T24" s="11" t="str">
        <f t="shared" si="1"/>
        <v>70+</v>
      </c>
    </row>
    <row r="25" spans="1:20" x14ac:dyDescent="0.35">
      <c r="A25" t="s">
        <v>34</v>
      </c>
      <c r="B25">
        <v>75</v>
      </c>
      <c r="C25" t="s">
        <v>12</v>
      </c>
      <c r="D25">
        <v>1</v>
      </c>
      <c r="E25">
        <v>0</v>
      </c>
      <c r="F25">
        <v>0</v>
      </c>
      <c r="G25">
        <v>0</v>
      </c>
      <c r="H25">
        <v>143</v>
      </c>
      <c r="I25">
        <v>92</v>
      </c>
      <c r="J25" t="s">
        <v>13</v>
      </c>
      <c r="K25" t="s">
        <v>6</v>
      </c>
      <c r="L25">
        <v>128</v>
      </c>
      <c r="M25">
        <v>83</v>
      </c>
      <c r="N25">
        <v>1</v>
      </c>
      <c r="O25">
        <v>2</v>
      </c>
      <c r="P25" s="1">
        <v>45618</v>
      </c>
      <c r="Q25" t="str">
        <f>IF(Hypertension_data[[#This Row],[BP_Controlled_After_3_Months]]=1,"Controlled","Not Controlled")</f>
        <v>Controlled</v>
      </c>
      <c r="R25">
        <f t="shared" si="0"/>
        <v>15</v>
      </c>
      <c r="S25">
        <f t="shared" si="2"/>
        <v>9</v>
      </c>
      <c r="T25" s="11" t="str">
        <f t="shared" si="1"/>
        <v>70+</v>
      </c>
    </row>
    <row r="26" spans="1:20" x14ac:dyDescent="0.35">
      <c r="A26" t="s">
        <v>35</v>
      </c>
      <c r="B26">
        <v>46</v>
      </c>
      <c r="C26" t="s">
        <v>1</v>
      </c>
      <c r="D26">
        <v>0</v>
      </c>
      <c r="E26">
        <v>0</v>
      </c>
      <c r="F26">
        <v>1</v>
      </c>
      <c r="G26">
        <v>1</v>
      </c>
      <c r="H26">
        <v>144</v>
      </c>
      <c r="I26">
        <v>120</v>
      </c>
      <c r="J26" t="s">
        <v>13</v>
      </c>
      <c r="K26" t="s">
        <v>15</v>
      </c>
      <c r="L26">
        <v>119</v>
      </c>
      <c r="M26">
        <v>105</v>
      </c>
      <c r="N26">
        <v>0</v>
      </c>
      <c r="O26">
        <v>2</v>
      </c>
      <c r="P26" s="1">
        <v>45512</v>
      </c>
      <c r="Q26" t="str">
        <f>IF(Hypertension_data[[#This Row],[BP_Controlled_After_3_Months]]=1,"Controlled","Not Controlled")</f>
        <v>Not Controlled</v>
      </c>
      <c r="R26">
        <f t="shared" si="0"/>
        <v>25</v>
      </c>
      <c r="S26">
        <f t="shared" si="2"/>
        <v>15</v>
      </c>
      <c r="T26" s="11" t="str">
        <f t="shared" si="1"/>
        <v>40-49</v>
      </c>
    </row>
    <row r="27" spans="1:20" x14ac:dyDescent="0.35">
      <c r="A27" t="s">
        <v>36</v>
      </c>
      <c r="B27">
        <v>38</v>
      </c>
      <c r="C27" t="s">
        <v>1</v>
      </c>
      <c r="D27">
        <v>0</v>
      </c>
      <c r="E27">
        <v>0</v>
      </c>
      <c r="F27">
        <v>1</v>
      </c>
      <c r="G27">
        <v>0</v>
      </c>
      <c r="H27">
        <v>153</v>
      </c>
      <c r="I27">
        <v>111</v>
      </c>
      <c r="J27" t="s">
        <v>10</v>
      </c>
      <c r="K27" t="s">
        <v>3</v>
      </c>
      <c r="L27">
        <v>145</v>
      </c>
      <c r="M27">
        <v>107</v>
      </c>
      <c r="N27">
        <v>0</v>
      </c>
      <c r="O27">
        <v>4</v>
      </c>
      <c r="P27" s="1">
        <v>45609</v>
      </c>
      <c r="Q27" t="str">
        <f>IF(Hypertension_data[[#This Row],[BP_Controlled_After_3_Months]]=1,"Controlled","Not Controlled")</f>
        <v>Not Controlled</v>
      </c>
      <c r="R27">
        <f t="shared" si="0"/>
        <v>8</v>
      </c>
      <c r="S27">
        <f t="shared" si="2"/>
        <v>4</v>
      </c>
      <c r="T27" s="11" t="str">
        <f t="shared" si="1"/>
        <v>30-39</v>
      </c>
    </row>
    <row r="28" spans="1:20" x14ac:dyDescent="0.35">
      <c r="A28" t="s">
        <v>37</v>
      </c>
      <c r="B28">
        <v>77</v>
      </c>
      <c r="C28" t="s">
        <v>1</v>
      </c>
      <c r="D28">
        <v>1</v>
      </c>
      <c r="E28">
        <v>1</v>
      </c>
      <c r="F28">
        <v>1</v>
      </c>
      <c r="G28">
        <v>0</v>
      </c>
      <c r="H28">
        <v>141</v>
      </c>
      <c r="I28">
        <v>95</v>
      </c>
      <c r="J28" t="s">
        <v>13</v>
      </c>
      <c r="K28" t="s">
        <v>6</v>
      </c>
      <c r="L28">
        <v>116</v>
      </c>
      <c r="M28">
        <v>80</v>
      </c>
      <c r="N28">
        <v>1</v>
      </c>
      <c r="O28">
        <v>2</v>
      </c>
      <c r="P28" s="1">
        <v>45651</v>
      </c>
      <c r="Q28" t="str">
        <f>IF(Hypertension_data[[#This Row],[BP_Controlled_After_3_Months]]=1,"Controlled","Not Controlled")</f>
        <v>Controlled</v>
      </c>
      <c r="R28">
        <f t="shared" si="0"/>
        <v>25</v>
      </c>
      <c r="S28">
        <f t="shared" si="2"/>
        <v>15</v>
      </c>
      <c r="T28" s="11" t="str">
        <f t="shared" si="1"/>
        <v>70+</v>
      </c>
    </row>
    <row r="29" spans="1:20" x14ac:dyDescent="0.35">
      <c r="A29" t="s">
        <v>38</v>
      </c>
      <c r="B29">
        <v>36</v>
      </c>
      <c r="C29" t="s">
        <v>12</v>
      </c>
      <c r="D29">
        <v>1</v>
      </c>
      <c r="E29">
        <v>0</v>
      </c>
      <c r="F29">
        <v>1</v>
      </c>
      <c r="G29">
        <v>1</v>
      </c>
      <c r="H29">
        <v>169</v>
      </c>
      <c r="I29">
        <v>101</v>
      </c>
      <c r="J29" t="s">
        <v>8</v>
      </c>
      <c r="K29" t="s">
        <v>15</v>
      </c>
      <c r="L29">
        <v>147</v>
      </c>
      <c r="M29">
        <v>88</v>
      </c>
      <c r="N29">
        <v>0</v>
      </c>
      <c r="O29">
        <v>2</v>
      </c>
      <c r="P29" s="1">
        <v>45496</v>
      </c>
      <c r="Q29" t="str">
        <f>IF(Hypertension_data[[#This Row],[BP_Controlled_After_3_Months]]=1,"Controlled","Not Controlled")</f>
        <v>Not Controlled</v>
      </c>
      <c r="R29">
        <f t="shared" si="0"/>
        <v>22</v>
      </c>
      <c r="S29">
        <f t="shared" si="2"/>
        <v>13</v>
      </c>
      <c r="T29" s="11" t="str">
        <f t="shared" si="1"/>
        <v>30-39</v>
      </c>
    </row>
    <row r="30" spans="1:20" x14ac:dyDescent="0.35">
      <c r="A30" t="s">
        <v>39</v>
      </c>
      <c r="B30">
        <v>51</v>
      </c>
      <c r="C30" t="s">
        <v>12</v>
      </c>
      <c r="D30">
        <v>1</v>
      </c>
      <c r="E30">
        <v>0</v>
      </c>
      <c r="F30">
        <v>0</v>
      </c>
      <c r="G30">
        <v>0</v>
      </c>
      <c r="H30">
        <v>183</v>
      </c>
      <c r="I30">
        <v>116</v>
      </c>
      <c r="J30" t="s">
        <v>5</v>
      </c>
      <c r="K30" t="s">
        <v>6</v>
      </c>
      <c r="L30">
        <v>174</v>
      </c>
      <c r="M30">
        <v>111</v>
      </c>
      <c r="N30">
        <v>0</v>
      </c>
      <c r="O30">
        <v>2</v>
      </c>
      <c r="P30" s="1">
        <v>45589</v>
      </c>
      <c r="Q30" t="str">
        <f>IF(Hypertension_data[[#This Row],[BP_Controlled_After_3_Months]]=1,"Controlled","Not Controlled")</f>
        <v>Not Controlled</v>
      </c>
      <c r="R30">
        <f t="shared" si="0"/>
        <v>9</v>
      </c>
      <c r="S30">
        <f t="shared" si="2"/>
        <v>5</v>
      </c>
      <c r="T30" s="11" t="str">
        <f t="shared" si="1"/>
        <v>50-59</v>
      </c>
    </row>
    <row r="31" spans="1:20" x14ac:dyDescent="0.35">
      <c r="A31" t="s">
        <v>40</v>
      </c>
      <c r="B31">
        <v>46</v>
      </c>
      <c r="C31" t="s">
        <v>1</v>
      </c>
      <c r="D31">
        <v>1</v>
      </c>
      <c r="E31">
        <v>0</v>
      </c>
      <c r="F31">
        <v>0</v>
      </c>
      <c r="G31">
        <v>0</v>
      </c>
      <c r="H31">
        <v>167</v>
      </c>
      <c r="I31">
        <v>109</v>
      </c>
      <c r="J31" t="s">
        <v>5</v>
      </c>
      <c r="K31" t="s">
        <v>15</v>
      </c>
      <c r="L31">
        <v>140</v>
      </c>
      <c r="M31">
        <v>93</v>
      </c>
      <c r="N31">
        <v>0</v>
      </c>
      <c r="O31">
        <v>3</v>
      </c>
      <c r="P31" s="1">
        <v>45314</v>
      </c>
      <c r="Q31" t="str">
        <f>IF(Hypertension_data[[#This Row],[BP_Controlled_After_3_Months]]=1,"Controlled","Not Controlled")</f>
        <v>Not Controlled</v>
      </c>
      <c r="R31">
        <f t="shared" si="0"/>
        <v>27</v>
      </c>
      <c r="S31">
        <f t="shared" si="2"/>
        <v>16</v>
      </c>
      <c r="T31" s="11" t="str">
        <f t="shared" si="1"/>
        <v>40-49</v>
      </c>
    </row>
    <row r="32" spans="1:20" x14ac:dyDescent="0.35">
      <c r="A32" t="s">
        <v>41</v>
      </c>
      <c r="B32">
        <v>75</v>
      </c>
      <c r="C32" t="s">
        <v>12</v>
      </c>
      <c r="D32">
        <v>1</v>
      </c>
      <c r="E32">
        <v>1</v>
      </c>
      <c r="F32">
        <v>0</v>
      </c>
      <c r="G32">
        <v>0</v>
      </c>
      <c r="H32">
        <v>144</v>
      </c>
      <c r="I32">
        <v>120</v>
      </c>
      <c r="J32" t="s">
        <v>13</v>
      </c>
      <c r="K32" t="s">
        <v>6</v>
      </c>
      <c r="L32">
        <v>116</v>
      </c>
      <c r="M32">
        <v>104</v>
      </c>
      <c r="N32">
        <v>0</v>
      </c>
      <c r="O32">
        <v>3</v>
      </c>
      <c r="P32" s="1">
        <v>45551</v>
      </c>
      <c r="Q32" t="str">
        <f>IF(Hypertension_data[[#This Row],[BP_Controlled_After_3_Months]]=1,"Controlled","Not Controlled")</f>
        <v>Not Controlled</v>
      </c>
      <c r="R32">
        <f t="shared" si="0"/>
        <v>28</v>
      </c>
      <c r="S32">
        <f t="shared" si="2"/>
        <v>16</v>
      </c>
      <c r="T32" s="11" t="str">
        <f t="shared" si="1"/>
        <v>70+</v>
      </c>
    </row>
    <row r="33" spans="1:20" x14ac:dyDescent="0.35">
      <c r="A33" t="s">
        <v>42</v>
      </c>
      <c r="B33">
        <v>49</v>
      </c>
      <c r="C33" t="s">
        <v>12</v>
      </c>
      <c r="D33">
        <v>0</v>
      </c>
      <c r="E33">
        <v>0</v>
      </c>
      <c r="F33">
        <v>0</v>
      </c>
      <c r="G33">
        <v>1</v>
      </c>
      <c r="H33">
        <v>152</v>
      </c>
      <c r="I33">
        <v>103</v>
      </c>
      <c r="J33" t="s">
        <v>13</v>
      </c>
      <c r="K33" t="s">
        <v>6</v>
      </c>
      <c r="L33">
        <v>128</v>
      </c>
      <c r="M33">
        <v>89</v>
      </c>
      <c r="N33">
        <v>1</v>
      </c>
      <c r="O33">
        <v>4</v>
      </c>
      <c r="P33" s="1">
        <v>45572</v>
      </c>
      <c r="Q33" t="str">
        <f>IF(Hypertension_data[[#This Row],[BP_Controlled_After_3_Months]]=1,"Controlled","Not Controlled")</f>
        <v>Controlled</v>
      </c>
      <c r="R33">
        <f t="shared" si="0"/>
        <v>24</v>
      </c>
      <c r="S33">
        <f t="shared" si="2"/>
        <v>14</v>
      </c>
      <c r="T33" s="11" t="str">
        <f t="shared" si="1"/>
        <v>40-49</v>
      </c>
    </row>
    <row r="34" spans="1:20" x14ac:dyDescent="0.35">
      <c r="A34" t="s">
        <v>43</v>
      </c>
      <c r="B34">
        <v>83</v>
      </c>
      <c r="C34" t="s">
        <v>1</v>
      </c>
      <c r="D34">
        <v>0</v>
      </c>
      <c r="E34">
        <v>0</v>
      </c>
      <c r="F34">
        <v>1</v>
      </c>
      <c r="G34">
        <v>0</v>
      </c>
      <c r="H34">
        <v>190</v>
      </c>
      <c r="I34">
        <v>108</v>
      </c>
      <c r="J34" t="s">
        <v>5</v>
      </c>
      <c r="K34" t="s">
        <v>3</v>
      </c>
      <c r="L34">
        <v>183</v>
      </c>
      <c r="M34">
        <v>104</v>
      </c>
      <c r="N34">
        <v>0</v>
      </c>
      <c r="O34">
        <v>4</v>
      </c>
      <c r="P34" s="1">
        <v>45637</v>
      </c>
      <c r="Q34" t="str">
        <f>IF(Hypertension_data[[#This Row],[BP_Controlled_After_3_Months]]=1,"Controlled","Not Controlled")</f>
        <v>Not Controlled</v>
      </c>
      <c r="R34">
        <f t="shared" si="0"/>
        <v>7</v>
      </c>
      <c r="S34">
        <f t="shared" si="2"/>
        <v>4</v>
      </c>
      <c r="T34" s="11" t="str">
        <f t="shared" si="1"/>
        <v>70+</v>
      </c>
    </row>
    <row r="35" spans="1:20" x14ac:dyDescent="0.35">
      <c r="A35" t="s">
        <v>44</v>
      </c>
      <c r="B35">
        <v>43</v>
      </c>
      <c r="C35" t="s">
        <v>12</v>
      </c>
      <c r="D35">
        <v>1</v>
      </c>
      <c r="E35">
        <v>1</v>
      </c>
      <c r="F35">
        <v>0</v>
      </c>
      <c r="G35">
        <v>0</v>
      </c>
      <c r="H35">
        <v>145</v>
      </c>
      <c r="I35">
        <v>116</v>
      </c>
      <c r="J35" t="s">
        <v>10</v>
      </c>
      <c r="K35" t="s">
        <v>3</v>
      </c>
      <c r="L35">
        <v>142</v>
      </c>
      <c r="M35">
        <v>115</v>
      </c>
      <c r="N35">
        <v>0</v>
      </c>
      <c r="O35">
        <v>2</v>
      </c>
      <c r="P35" s="1">
        <v>45304</v>
      </c>
      <c r="Q35" t="str">
        <f>IF(Hypertension_data[[#This Row],[BP_Controlled_After_3_Months]]=1,"Controlled","Not Controlled")</f>
        <v>Not Controlled</v>
      </c>
      <c r="R35">
        <f t="shared" si="0"/>
        <v>3</v>
      </c>
      <c r="S35">
        <f t="shared" si="2"/>
        <v>1</v>
      </c>
      <c r="T35" s="11" t="str">
        <f t="shared" si="1"/>
        <v>40-49</v>
      </c>
    </row>
    <row r="36" spans="1:20" x14ac:dyDescent="0.35">
      <c r="A36" t="s">
        <v>45</v>
      </c>
      <c r="B36">
        <v>32</v>
      </c>
      <c r="C36" t="s">
        <v>1</v>
      </c>
      <c r="D36">
        <v>0</v>
      </c>
      <c r="E36">
        <v>1</v>
      </c>
      <c r="F36">
        <v>0</v>
      </c>
      <c r="G36">
        <v>0</v>
      </c>
      <c r="H36">
        <v>180</v>
      </c>
      <c r="I36">
        <v>108</v>
      </c>
      <c r="J36" t="s">
        <v>10</v>
      </c>
      <c r="K36" t="s">
        <v>3</v>
      </c>
      <c r="L36">
        <v>174</v>
      </c>
      <c r="M36">
        <v>105</v>
      </c>
      <c r="N36">
        <v>0</v>
      </c>
      <c r="O36">
        <v>2</v>
      </c>
      <c r="P36" s="1">
        <v>45367</v>
      </c>
      <c r="Q36" t="str">
        <f>IF(Hypertension_data[[#This Row],[BP_Controlled_After_3_Months]]=1,"Controlled","Not Controlled")</f>
        <v>Not Controlled</v>
      </c>
      <c r="R36">
        <f t="shared" si="0"/>
        <v>6</v>
      </c>
      <c r="S36">
        <f t="shared" si="2"/>
        <v>3</v>
      </c>
      <c r="T36" s="11" t="str">
        <f t="shared" si="1"/>
        <v>30-39</v>
      </c>
    </row>
    <row r="37" spans="1:20" x14ac:dyDescent="0.35">
      <c r="A37" t="s">
        <v>46</v>
      </c>
      <c r="B37">
        <v>71</v>
      </c>
      <c r="C37" t="s">
        <v>1</v>
      </c>
      <c r="D37">
        <v>1</v>
      </c>
      <c r="E37">
        <v>0</v>
      </c>
      <c r="F37">
        <v>1</v>
      </c>
      <c r="G37">
        <v>1</v>
      </c>
      <c r="H37">
        <v>184</v>
      </c>
      <c r="I37">
        <v>106</v>
      </c>
      <c r="J37" t="s">
        <v>19</v>
      </c>
      <c r="K37" t="s">
        <v>15</v>
      </c>
      <c r="L37">
        <v>162</v>
      </c>
      <c r="M37">
        <v>93</v>
      </c>
      <c r="N37">
        <v>0</v>
      </c>
      <c r="O37">
        <v>2</v>
      </c>
      <c r="P37" s="1">
        <v>45529</v>
      </c>
      <c r="Q37" t="str">
        <f>IF(Hypertension_data[[#This Row],[BP_Controlled_After_3_Months]]=1,"Controlled","Not Controlled")</f>
        <v>Not Controlled</v>
      </c>
      <c r="R37">
        <f t="shared" si="0"/>
        <v>22</v>
      </c>
      <c r="S37">
        <f t="shared" si="2"/>
        <v>13</v>
      </c>
      <c r="T37" s="11" t="str">
        <f t="shared" si="1"/>
        <v>70+</v>
      </c>
    </row>
    <row r="38" spans="1:20" x14ac:dyDescent="0.35">
      <c r="A38" t="s">
        <v>47</v>
      </c>
      <c r="B38">
        <v>72</v>
      </c>
      <c r="C38" t="s">
        <v>12</v>
      </c>
      <c r="D38">
        <v>0</v>
      </c>
      <c r="E38">
        <v>0</v>
      </c>
      <c r="F38">
        <v>0</v>
      </c>
      <c r="G38">
        <v>1</v>
      </c>
      <c r="H38">
        <v>187</v>
      </c>
      <c r="I38">
        <v>117</v>
      </c>
      <c r="J38" t="s">
        <v>19</v>
      </c>
      <c r="K38" t="s">
        <v>6</v>
      </c>
      <c r="L38">
        <v>176</v>
      </c>
      <c r="M38">
        <v>111</v>
      </c>
      <c r="N38">
        <v>0</v>
      </c>
      <c r="O38">
        <v>3</v>
      </c>
      <c r="P38" s="1">
        <v>45558</v>
      </c>
      <c r="Q38" t="str">
        <f>IF(Hypertension_data[[#This Row],[BP_Controlled_After_3_Months]]=1,"Controlled","Not Controlled")</f>
        <v>Not Controlled</v>
      </c>
      <c r="R38">
        <f t="shared" si="0"/>
        <v>11</v>
      </c>
      <c r="S38">
        <f t="shared" si="2"/>
        <v>6</v>
      </c>
      <c r="T38" s="11" t="str">
        <f t="shared" si="1"/>
        <v>70+</v>
      </c>
    </row>
    <row r="39" spans="1:20" x14ac:dyDescent="0.35">
      <c r="A39" t="s">
        <v>48</v>
      </c>
      <c r="B39">
        <v>61</v>
      </c>
      <c r="C39" t="s">
        <v>1</v>
      </c>
      <c r="D39">
        <v>0</v>
      </c>
      <c r="E39">
        <v>0</v>
      </c>
      <c r="F39">
        <v>1</v>
      </c>
      <c r="G39">
        <v>0</v>
      </c>
      <c r="H39">
        <v>155</v>
      </c>
      <c r="I39">
        <v>98</v>
      </c>
      <c r="J39" t="s">
        <v>8</v>
      </c>
      <c r="K39" t="s">
        <v>6</v>
      </c>
      <c r="L39">
        <v>145</v>
      </c>
      <c r="M39">
        <v>92</v>
      </c>
      <c r="N39">
        <v>0</v>
      </c>
      <c r="O39">
        <v>2</v>
      </c>
      <c r="P39" s="1">
        <v>45488</v>
      </c>
      <c r="Q39" t="str">
        <f>IF(Hypertension_data[[#This Row],[BP_Controlled_After_3_Months]]=1,"Controlled","Not Controlled")</f>
        <v>Not Controlled</v>
      </c>
      <c r="R39">
        <f t="shared" si="0"/>
        <v>10</v>
      </c>
      <c r="S39">
        <f t="shared" si="2"/>
        <v>6</v>
      </c>
      <c r="T39" s="11" t="str">
        <f t="shared" si="1"/>
        <v>60-69</v>
      </c>
    </row>
    <row r="40" spans="1:20" x14ac:dyDescent="0.35">
      <c r="A40" t="s">
        <v>49</v>
      </c>
      <c r="B40">
        <v>74</v>
      </c>
      <c r="C40" t="s">
        <v>1</v>
      </c>
      <c r="D40">
        <v>1</v>
      </c>
      <c r="E40">
        <v>1</v>
      </c>
      <c r="F40">
        <v>0</v>
      </c>
      <c r="G40">
        <v>0</v>
      </c>
      <c r="H40">
        <v>161</v>
      </c>
      <c r="I40">
        <v>107</v>
      </c>
      <c r="J40" t="s">
        <v>19</v>
      </c>
      <c r="K40" t="s">
        <v>6</v>
      </c>
      <c r="L40">
        <v>150</v>
      </c>
      <c r="M40">
        <v>101</v>
      </c>
      <c r="N40">
        <v>0</v>
      </c>
      <c r="O40">
        <v>4</v>
      </c>
      <c r="P40" s="1">
        <v>45591</v>
      </c>
      <c r="Q40" t="str">
        <f>IF(Hypertension_data[[#This Row],[BP_Controlled_After_3_Months]]=1,"Controlled","Not Controlled")</f>
        <v>Not Controlled</v>
      </c>
      <c r="R40">
        <f t="shared" si="0"/>
        <v>11</v>
      </c>
      <c r="S40">
        <f t="shared" si="2"/>
        <v>6</v>
      </c>
      <c r="T40" s="11" t="str">
        <f t="shared" si="1"/>
        <v>70+</v>
      </c>
    </row>
    <row r="41" spans="1:20" x14ac:dyDescent="0.35">
      <c r="A41" t="s">
        <v>50</v>
      </c>
      <c r="B41">
        <v>74</v>
      </c>
      <c r="C41" t="s">
        <v>1</v>
      </c>
      <c r="D41">
        <v>0</v>
      </c>
      <c r="E41">
        <v>0</v>
      </c>
      <c r="F41">
        <v>1</v>
      </c>
      <c r="G41">
        <v>0</v>
      </c>
      <c r="H41">
        <v>159</v>
      </c>
      <c r="I41">
        <v>114</v>
      </c>
      <c r="J41" t="s">
        <v>19</v>
      </c>
      <c r="K41" t="s">
        <v>6</v>
      </c>
      <c r="L41">
        <v>144</v>
      </c>
      <c r="M41">
        <v>105</v>
      </c>
      <c r="N41">
        <v>0</v>
      </c>
      <c r="O41">
        <v>3</v>
      </c>
      <c r="P41" s="1">
        <v>45515</v>
      </c>
      <c r="Q41" t="str">
        <f>IF(Hypertension_data[[#This Row],[BP_Controlled_After_3_Months]]=1,"Controlled","Not Controlled")</f>
        <v>Not Controlled</v>
      </c>
      <c r="R41">
        <f t="shared" si="0"/>
        <v>15</v>
      </c>
      <c r="S41">
        <f t="shared" si="2"/>
        <v>9</v>
      </c>
      <c r="T41" s="11" t="str">
        <f t="shared" si="1"/>
        <v>70+</v>
      </c>
    </row>
    <row r="42" spans="1:20" x14ac:dyDescent="0.35">
      <c r="A42" t="s">
        <v>51</v>
      </c>
      <c r="B42">
        <v>61</v>
      </c>
      <c r="C42" t="s">
        <v>1</v>
      </c>
      <c r="D42">
        <v>0</v>
      </c>
      <c r="E42">
        <v>0</v>
      </c>
      <c r="F42">
        <v>0</v>
      </c>
      <c r="G42">
        <v>1</v>
      </c>
      <c r="H42">
        <v>169</v>
      </c>
      <c r="I42">
        <v>119</v>
      </c>
      <c r="J42" t="s">
        <v>10</v>
      </c>
      <c r="K42" t="s">
        <v>3</v>
      </c>
      <c r="L42">
        <v>160</v>
      </c>
      <c r="M42">
        <v>114</v>
      </c>
      <c r="N42">
        <v>0</v>
      </c>
      <c r="O42">
        <v>5</v>
      </c>
      <c r="P42" s="1">
        <v>45631</v>
      </c>
      <c r="Q42" t="str">
        <f>IF(Hypertension_data[[#This Row],[BP_Controlled_After_3_Months]]=1,"Controlled","Not Controlled")</f>
        <v>Not Controlled</v>
      </c>
      <c r="R42">
        <f t="shared" si="0"/>
        <v>9</v>
      </c>
      <c r="S42">
        <f t="shared" si="2"/>
        <v>5</v>
      </c>
      <c r="T42" s="11" t="str">
        <f t="shared" si="1"/>
        <v>60-69</v>
      </c>
    </row>
    <row r="43" spans="1:20" x14ac:dyDescent="0.35">
      <c r="A43" t="s">
        <v>52</v>
      </c>
      <c r="B43">
        <v>31</v>
      </c>
      <c r="C43" t="s">
        <v>1</v>
      </c>
      <c r="D43">
        <v>0</v>
      </c>
      <c r="E43">
        <v>1</v>
      </c>
      <c r="F43">
        <v>0</v>
      </c>
      <c r="G43">
        <v>1</v>
      </c>
      <c r="H43">
        <v>143</v>
      </c>
      <c r="I43">
        <v>98</v>
      </c>
      <c r="J43" t="s">
        <v>19</v>
      </c>
      <c r="K43" t="s">
        <v>6</v>
      </c>
      <c r="L43">
        <v>128</v>
      </c>
      <c r="M43">
        <v>89</v>
      </c>
      <c r="N43">
        <v>1</v>
      </c>
      <c r="O43">
        <v>3</v>
      </c>
      <c r="P43" s="1">
        <v>45486</v>
      </c>
      <c r="Q43" t="str">
        <f>IF(Hypertension_data[[#This Row],[BP_Controlled_After_3_Months]]=1,"Controlled","Not Controlled")</f>
        <v>Controlled</v>
      </c>
      <c r="R43">
        <f t="shared" si="0"/>
        <v>15</v>
      </c>
      <c r="S43">
        <f t="shared" si="2"/>
        <v>9</v>
      </c>
      <c r="T43" s="11" t="str">
        <f t="shared" si="1"/>
        <v>30-39</v>
      </c>
    </row>
    <row r="44" spans="1:20" x14ac:dyDescent="0.35">
      <c r="A44" t="s">
        <v>53</v>
      </c>
      <c r="B44">
        <v>47</v>
      </c>
      <c r="C44" t="s">
        <v>12</v>
      </c>
      <c r="D44">
        <v>0</v>
      </c>
      <c r="E44">
        <v>1</v>
      </c>
      <c r="F44">
        <v>0</v>
      </c>
      <c r="G44">
        <v>1</v>
      </c>
      <c r="H44">
        <v>187</v>
      </c>
      <c r="I44">
        <v>107</v>
      </c>
      <c r="J44" t="s">
        <v>2</v>
      </c>
      <c r="K44" t="s">
        <v>6</v>
      </c>
      <c r="L44">
        <v>169</v>
      </c>
      <c r="M44">
        <v>97</v>
      </c>
      <c r="N44">
        <v>0</v>
      </c>
      <c r="O44">
        <v>6</v>
      </c>
      <c r="P44" s="1">
        <v>45312</v>
      </c>
      <c r="Q44" t="str">
        <f>IF(Hypertension_data[[#This Row],[BP_Controlled_After_3_Months]]=1,"Controlled","Not Controlled")</f>
        <v>Not Controlled</v>
      </c>
      <c r="R44">
        <f t="shared" si="0"/>
        <v>18</v>
      </c>
      <c r="S44">
        <f t="shared" si="2"/>
        <v>10</v>
      </c>
      <c r="T44" s="11" t="str">
        <f t="shared" si="1"/>
        <v>40-49</v>
      </c>
    </row>
    <row r="45" spans="1:20" x14ac:dyDescent="0.35">
      <c r="A45" t="s">
        <v>54</v>
      </c>
      <c r="B45">
        <v>78</v>
      </c>
      <c r="C45" t="s">
        <v>1</v>
      </c>
      <c r="D45">
        <v>1</v>
      </c>
      <c r="E45">
        <v>1</v>
      </c>
      <c r="F45">
        <v>1</v>
      </c>
      <c r="G45">
        <v>1</v>
      </c>
      <c r="H45">
        <v>155</v>
      </c>
      <c r="I45">
        <v>94</v>
      </c>
      <c r="J45" t="s">
        <v>19</v>
      </c>
      <c r="K45" t="s">
        <v>3</v>
      </c>
      <c r="L45">
        <v>152</v>
      </c>
      <c r="M45">
        <v>93</v>
      </c>
      <c r="N45">
        <v>0</v>
      </c>
      <c r="O45">
        <v>4</v>
      </c>
      <c r="P45" s="1">
        <v>45650</v>
      </c>
      <c r="Q45" t="str">
        <f>IF(Hypertension_data[[#This Row],[BP_Controlled_After_3_Months]]=1,"Controlled","Not Controlled")</f>
        <v>Not Controlled</v>
      </c>
      <c r="R45">
        <f t="shared" si="0"/>
        <v>3</v>
      </c>
      <c r="S45">
        <f t="shared" si="2"/>
        <v>1</v>
      </c>
      <c r="T45" s="11" t="str">
        <f t="shared" si="1"/>
        <v>70+</v>
      </c>
    </row>
    <row r="46" spans="1:20" x14ac:dyDescent="0.35">
      <c r="A46" t="s">
        <v>55</v>
      </c>
      <c r="B46">
        <v>46</v>
      </c>
      <c r="C46" t="s">
        <v>12</v>
      </c>
      <c r="D46">
        <v>1</v>
      </c>
      <c r="E46">
        <v>1</v>
      </c>
      <c r="F46">
        <v>1</v>
      </c>
      <c r="G46">
        <v>0</v>
      </c>
      <c r="H46">
        <v>146</v>
      </c>
      <c r="I46">
        <v>108</v>
      </c>
      <c r="J46" t="s">
        <v>2</v>
      </c>
      <c r="K46" t="s">
        <v>6</v>
      </c>
      <c r="L46">
        <v>132</v>
      </c>
      <c r="M46">
        <v>100</v>
      </c>
      <c r="N46">
        <v>0</v>
      </c>
      <c r="O46">
        <v>1</v>
      </c>
      <c r="P46" s="1">
        <v>45595</v>
      </c>
      <c r="Q46" t="str">
        <f>IF(Hypertension_data[[#This Row],[BP_Controlled_After_3_Months]]=1,"Controlled","Not Controlled")</f>
        <v>Not Controlled</v>
      </c>
      <c r="R46">
        <f t="shared" si="0"/>
        <v>14</v>
      </c>
      <c r="S46">
        <f t="shared" si="2"/>
        <v>8</v>
      </c>
      <c r="T46" s="11" t="str">
        <f t="shared" si="1"/>
        <v>40-49</v>
      </c>
    </row>
    <row r="47" spans="1:20" x14ac:dyDescent="0.35">
      <c r="A47" t="s">
        <v>56</v>
      </c>
      <c r="B47">
        <v>74</v>
      </c>
      <c r="C47" t="s">
        <v>1</v>
      </c>
      <c r="D47">
        <v>1</v>
      </c>
      <c r="E47">
        <v>0</v>
      </c>
      <c r="F47">
        <v>1</v>
      </c>
      <c r="G47">
        <v>1</v>
      </c>
      <c r="H47">
        <v>162</v>
      </c>
      <c r="I47">
        <v>107</v>
      </c>
      <c r="J47" t="s">
        <v>19</v>
      </c>
      <c r="K47" t="s">
        <v>3</v>
      </c>
      <c r="L47">
        <v>154</v>
      </c>
      <c r="M47">
        <v>103</v>
      </c>
      <c r="N47">
        <v>0</v>
      </c>
      <c r="O47">
        <v>6</v>
      </c>
      <c r="P47" s="1">
        <v>45466</v>
      </c>
      <c r="Q47" t="str">
        <f>IF(Hypertension_data[[#This Row],[BP_Controlled_After_3_Months]]=1,"Controlled","Not Controlled")</f>
        <v>Not Controlled</v>
      </c>
      <c r="R47">
        <f t="shared" si="0"/>
        <v>8</v>
      </c>
      <c r="S47">
        <f t="shared" si="2"/>
        <v>4</v>
      </c>
      <c r="T47" s="11" t="str">
        <f t="shared" si="1"/>
        <v>70+</v>
      </c>
    </row>
    <row r="48" spans="1:20" x14ac:dyDescent="0.35">
      <c r="A48" t="s">
        <v>57</v>
      </c>
      <c r="B48">
        <v>30</v>
      </c>
      <c r="C48" t="s">
        <v>12</v>
      </c>
      <c r="D48">
        <v>0</v>
      </c>
      <c r="E48">
        <v>1</v>
      </c>
      <c r="F48">
        <v>0</v>
      </c>
      <c r="G48">
        <v>0</v>
      </c>
      <c r="H48">
        <v>180</v>
      </c>
      <c r="I48">
        <v>118</v>
      </c>
      <c r="J48" t="s">
        <v>19</v>
      </c>
      <c r="K48" t="s">
        <v>3</v>
      </c>
      <c r="L48">
        <v>178</v>
      </c>
      <c r="M48">
        <v>117</v>
      </c>
      <c r="N48">
        <v>0</v>
      </c>
      <c r="O48">
        <v>6</v>
      </c>
      <c r="P48" s="1">
        <v>45559</v>
      </c>
      <c r="Q48" t="str">
        <f>IF(Hypertension_data[[#This Row],[BP_Controlled_After_3_Months]]=1,"Controlled","Not Controlled")</f>
        <v>Not Controlled</v>
      </c>
      <c r="R48">
        <f t="shared" si="0"/>
        <v>2</v>
      </c>
      <c r="S48">
        <f t="shared" si="2"/>
        <v>1</v>
      </c>
      <c r="T48" s="11" t="str">
        <f t="shared" si="1"/>
        <v>30-39</v>
      </c>
    </row>
    <row r="49" spans="1:20" x14ac:dyDescent="0.35">
      <c r="A49" t="s">
        <v>58</v>
      </c>
      <c r="B49">
        <v>71</v>
      </c>
      <c r="C49" t="s">
        <v>12</v>
      </c>
      <c r="D49">
        <v>0</v>
      </c>
      <c r="E49">
        <v>0</v>
      </c>
      <c r="F49">
        <v>0</v>
      </c>
      <c r="G49">
        <v>0</v>
      </c>
      <c r="H49">
        <v>160</v>
      </c>
      <c r="I49">
        <v>117</v>
      </c>
      <c r="J49" t="s">
        <v>10</v>
      </c>
      <c r="K49" t="s">
        <v>15</v>
      </c>
      <c r="L49">
        <v>137</v>
      </c>
      <c r="M49">
        <v>104</v>
      </c>
      <c r="N49">
        <v>0</v>
      </c>
      <c r="O49">
        <v>4</v>
      </c>
      <c r="P49" s="1">
        <v>45583</v>
      </c>
      <c r="Q49" t="str">
        <f>IF(Hypertension_data[[#This Row],[BP_Controlled_After_3_Months]]=1,"Controlled","Not Controlled")</f>
        <v>Not Controlled</v>
      </c>
      <c r="R49">
        <f t="shared" si="0"/>
        <v>23</v>
      </c>
      <c r="S49">
        <f t="shared" si="2"/>
        <v>13</v>
      </c>
      <c r="T49" s="11" t="str">
        <f t="shared" si="1"/>
        <v>70+</v>
      </c>
    </row>
    <row r="50" spans="1:20" x14ac:dyDescent="0.35">
      <c r="A50" t="s">
        <v>59</v>
      </c>
      <c r="B50">
        <v>69</v>
      </c>
      <c r="C50" t="s">
        <v>12</v>
      </c>
      <c r="D50">
        <v>0</v>
      </c>
      <c r="E50">
        <v>1</v>
      </c>
      <c r="F50">
        <v>0</v>
      </c>
      <c r="G50">
        <v>0</v>
      </c>
      <c r="H50">
        <v>151</v>
      </c>
      <c r="I50">
        <v>105</v>
      </c>
      <c r="J50" t="s">
        <v>10</v>
      </c>
      <c r="K50" t="s">
        <v>6</v>
      </c>
      <c r="L50">
        <v>138</v>
      </c>
      <c r="M50">
        <v>98</v>
      </c>
      <c r="N50">
        <v>0</v>
      </c>
      <c r="O50">
        <v>5</v>
      </c>
      <c r="P50" s="1">
        <v>45651</v>
      </c>
      <c r="Q50" t="str">
        <f>IF(Hypertension_data[[#This Row],[BP_Controlled_After_3_Months]]=1,"Controlled","Not Controlled")</f>
        <v>Not Controlled</v>
      </c>
      <c r="R50">
        <f t="shared" si="0"/>
        <v>13</v>
      </c>
      <c r="S50">
        <f t="shared" si="2"/>
        <v>7</v>
      </c>
      <c r="T50" s="11" t="str">
        <f t="shared" si="1"/>
        <v>60-69</v>
      </c>
    </row>
    <row r="51" spans="1:20" x14ac:dyDescent="0.35">
      <c r="A51" t="s">
        <v>60</v>
      </c>
      <c r="B51">
        <v>47</v>
      </c>
      <c r="C51" t="s">
        <v>1</v>
      </c>
      <c r="D51">
        <v>1</v>
      </c>
      <c r="E51">
        <v>1</v>
      </c>
      <c r="F51">
        <v>1</v>
      </c>
      <c r="G51">
        <v>0</v>
      </c>
      <c r="H51">
        <v>171</v>
      </c>
      <c r="I51">
        <v>107</v>
      </c>
      <c r="J51" t="s">
        <v>10</v>
      </c>
      <c r="K51" t="s">
        <v>3</v>
      </c>
      <c r="L51">
        <v>164</v>
      </c>
      <c r="M51">
        <v>103</v>
      </c>
      <c r="N51">
        <v>0</v>
      </c>
      <c r="O51">
        <v>4</v>
      </c>
      <c r="P51" s="1">
        <v>45300</v>
      </c>
      <c r="Q51" t="str">
        <f>IF(Hypertension_data[[#This Row],[BP_Controlled_After_3_Months]]=1,"Controlled","Not Controlled")</f>
        <v>Not Controlled</v>
      </c>
      <c r="R51">
        <f t="shared" si="0"/>
        <v>7</v>
      </c>
      <c r="S51">
        <f t="shared" si="2"/>
        <v>4</v>
      </c>
      <c r="T51" s="11" t="str">
        <f t="shared" si="1"/>
        <v>40-49</v>
      </c>
    </row>
    <row r="52" spans="1:20" x14ac:dyDescent="0.35">
      <c r="A52" t="s">
        <v>61</v>
      </c>
      <c r="B52">
        <v>35</v>
      </c>
      <c r="C52" t="s">
        <v>12</v>
      </c>
      <c r="D52">
        <v>1</v>
      </c>
      <c r="E52">
        <v>0</v>
      </c>
      <c r="F52">
        <v>1</v>
      </c>
      <c r="G52">
        <v>0</v>
      </c>
      <c r="H52">
        <v>182</v>
      </c>
      <c r="I52">
        <v>108</v>
      </c>
      <c r="J52" t="s">
        <v>8</v>
      </c>
      <c r="K52" t="s">
        <v>6</v>
      </c>
      <c r="L52">
        <v>168</v>
      </c>
      <c r="M52">
        <v>100</v>
      </c>
      <c r="N52">
        <v>0</v>
      </c>
      <c r="O52">
        <v>3</v>
      </c>
      <c r="P52" s="1">
        <v>45472</v>
      </c>
      <c r="Q52" t="str">
        <f>IF(Hypertension_data[[#This Row],[BP_Controlled_After_3_Months]]=1,"Controlled","Not Controlled")</f>
        <v>Not Controlled</v>
      </c>
      <c r="R52">
        <f t="shared" si="0"/>
        <v>14</v>
      </c>
      <c r="S52">
        <f t="shared" si="2"/>
        <v>8</v>
      </c>
      <c r="T52" s="11" t="str">
        <f t="shared" si="1"/>
        <v>30-39</v>
      </c>
    </row>
    <row r="53" spans="1:20" x14ac:dyDescent="0.35">
      <c r="A53" t="s">
        <v>62</v>
      </c>
      <c r="B53">
        <v>74</v>
      </c>
      <c r="C53" t="s">
        <v>12</v>
      </c>
      <c r="D53">
        <v>0</v>
      </c>
      <c r="E53">
        <v>0</v>
      </c>
      <c r="F53">
        <v>0</v>
      </c>
      <c r="G53">
        <v>1</v>
      </c>
      <c r="H53">
        <v>147</v>
      </c>
      <c r="I53">
        <v>113</v>
      </c>
      <c r="J53" t="s">
        <v>10</v>
      </c>
      <c r="K53" t="s">
        <v>6</v>
      </c>
      <c r="L53">
        <v>131</v>
      </c>
      <c r="M53">
        <v>104</v>
      </c>
      <c r="N53">
        <v>0</v>
      </c>
      <c r="O53">
        <v>2</v>
      </c>
      <c r="P53" s="1">
        <v>45402</v>
      </c>
      <c r="Q53" t="str">
        <f>IF(Hypertension_data[[#This Row],[BP_Controlled_After_3_Months]]=1,"Controlled","Not Controlled")</f>
        <v>Not Controlled</v>
      </c>
      <c r="R53">
        <f t="shared" si="0"/>
        <v>16</v>
      </c>
      <c r="S53">
        <f t="shared" si="2"/>
        <v>9</v>
      </c>
      <c r="T53" s="11" t="str">
        <f t="shared" si="1"/>
        <v>70+</v>
      </c>
    </row>
    <row r="54" spans="1:20" x14ac:dyDescent="0.35">
      <c r="A54" t="s">
        <v>63</v>
      </c>
      <c r="B54">
        <v>77</v>
      </c>
      <c r="C54" t="s">
        <v>12</v>
      </c>
      <c r="D54">
        <v>0</v>
      </c>
      <c r="E54">
        <v>0</v>
      </c>
      <c r="F54">
        <v>1</v>
      </c>
      <c r="G54">
        <v>1</v>
      </c>
      <c r="H54">
        <v>158</v>
      </c>
      <c r="I54">
        <v>97</v>
      </c>
      <c r="J54" t="s">
        <v>8</v>
      </c>
      <c r="K54" t="s">
        <v>15</v>
      </c>
      <c r="L54">
        <v>134</v>
      </c>
      <c r="M54">
        <v>83</v>
      </c>
      <c r="N54">
        <v>1</v>
      </c>
      <c r="O54">
        <v>2</v>
      </c>
      <c r="P54" s="1">
        <v>45432</v>
      </c>
      <c r="Q54" t="str">
        <f>IF(Hypertension_data[[#This Row],[BP_Controlled_After_3_Months]]=1,"Controlled","Not Controlled")</f>
        <v>Controlled</v>
      </c>
      <c r="R54">
        <f t="shared" si="0"/>
        <v>24</v>
      </c>
      <c r="S54">
        <f t="shared" si="2"/>
        <v>14</v>
      </c>
      <c r="T54" s="11" t="str">
        <f t="shared" si="1"/>
        <v>70+</v>
      </c>
    </row>
    <row r="55" spans="1:20" x14ac:dyDescent="0.35">
      <c r="A55" t="s">
        <v>64</v>
      </c>
      <c r="B55">
        <v>32</v>
      </c>
      <c r="C55" t="s">
        <v>1</v>
      </c>
      <c r="D55">
        <v>0</v>
      </c>
      <c r="E55">
        <v>1</v>
      </c>
      <c r="F55">
        <v>0</v>
      </c>
      <c r="G55">
        <v>1</v>
      </c>
      <c r="H55">
        <v>140</v>
      </c>
      <c r="I55">
        <v>108</v>
      </c>
      <c r="J55" t="s">
        <v>8</v>
      </c>
      <c r="K55" t="s">
        <v>6</v>
      </c>
      <c r="L55">
        <v>125</v>
      </c>
      <c r="M55">
        <v>99</v>
      </c>
      <c r="N55">
        <v>0</v>
      </c>
      <c r="O55">
        <v>2</v>
      </c>
      <c r="P55" s="1">
        <v>45318</v>
      </c>
      <c r="Q55" t="str">
        <f>IF(Hypertension_data[[#This Row],[BP_Controlled_After_3_Months]]=1,"Controlled","Not Controlled")</f>
        <v>Not Controlled</v>
      </c>
      <c r="R55">
        <f t="shared" si="0"/>
        <v>15</v>
      </c>
      <c r="S55">
        <f t="shared" si="2"/>
        <v>9</v>
      </c>
      <c r="T55" s="11" t="str">
        <f t="shared" si="1"/>
        <v>30-39</v>
      </c>
    </row>
    <row r="56" spans="1:20" x14ac:dyDescent="0.35">
      <c r="A56" t="s">
        <v>65</v>
      </c>
      <c r="B56">
        <v>46</v>
      </c>
      <c r="C56" t="s">
        <v>12</v>
      </c>
      <c r="D56">
        <v>1</v>
      </c>
      <c r="E56">
        <v>1</v>
      </c>
      <c r="F56">
        <v>0</v>
      </c>
      <c r="G56">
        <v>0</v>
      </c>
      <c r="H56">
        <v>144</v>
      </c>
      <c r="I56">
        <v>108</v>
      </c>
      <c r="J56" t="s">
        <v>13</v>
      </c>
      <c r="K56" t="s">
        <v>3</v>
      </c>
      <c r="L56">
        <v>133</v>
      </c>
      <c r="M56">
        <v>102</v>
      </c>
      <c r="N56">
        <v>0</v>
      </c>
      <c r="O56">
        <v>3</v>
      </c>
      <c r="P56" s="1">
        <v>45335</v>
      </c>
      <c r="Q56" t="str">
        <f>IF(Hypertension_data[[#This Row],[BP_Controlled_After_3_Months]]=1,"Controlled","Not Controlled")</f>
        <v>Not Controlled</v>
      </c>
      <c r="R56">
        <f t="shared" si="0"/>
        <v>11</v>
      </c>
      <c r="S56">
        <f t="shared" si="2"/>
        <v>6</v>
      </c>
      <c r="T56" s="11" t="str">
        <f t="shared" si="1"/>
        <v>40-49</v>
      </c>
    </row>
    <row r="57" spans="1:20" x14ac:dyDescent="0.35">
      <c r="A57" t="s">
        <v>66</v>
      </c>
      <c r="B57">
        <v>45</v>
      </c>
      <c r="C57" t="s">
        <v>1</v>
      </c>
      <c r="D57">
        <v>0</v>
      </c>
      <c r="E57">
        <v>1</v>
      </c>
      <c r="F57">
        <v>0</v>
      </c>
      <c r="G57">
        <v>0</v>
      </c>
      <c r="H57">
        <v>168</v>
      </c>
      <c r="I57">
        <v>99</v>
      </c>
      <c r="J57" t="s">
        <v>5</v>
      </c>
      <c r="K57" t="s">
        <v>6</v>
      </c>
      <c r="L57">
        <v>151</v>
      </c>
      <c r="M57">
        <v>89</v>
      </c>
      <c r="N57">
        <v>0</v>
      </c>
      <c r="O57">
        <v>1</v>
      </c>
      <c r="P57" s="1">
        <v>45604</v>
      </c>
      <c r="Q57" t="str">
        <f>IF(Hypertension_data[[#This Row],[BP_Controlled_After_3_Months]]=1,"Controlled","Not Controlled")</f>
        <v>Not Controlled</v>
      </c>
      <c r="R57">
        <f t="shared" si="0"/>
        <v>17</v>
      </c>
      <c r="S57">
        <f t="shared" si="2"/>
        <v>10</v>
      </c>
      <c r="T57" s="11" t="str">
        <f t="shared" si="1"/>
        <v>40-49</v>
      </c>
    </row>
    <row r="58" spans="1:20" x14ac:dyDescent="0.35">
      <c r="A58" t="s">
        <v>67</v>
      </c>
      <c r="B58">
        <v>77</v>
      </c>
      <c r="C58" t="s">
        <v>1</v>
      </c>
      <c r="D58">
        <v>1</v>
      </c>
      <c r="E58">
        <v>1</v>
      </c>
      <c r="F58">
        <v>0</v>
      </c>
      <c r="G58">
        <v>1</v>
      </c>
      <c r="H58">
        <v>150</v>
      </c>
      <c r="I58">
        <v>97</v>
      </c>
      <c r="J58" t="s">
        <v>10</v>
      </c>
      <c r="K58" t="s">
        <v>3</v>
      </c>
      <c r="L58">
        <v>150</v>
      </c>
      <c r="M58">
        <v>97</v>
      </c>
      <c r="N58">
        <v>0</v>
      </c>
      <c r="O58">
        <v>4</v>
      </c>
      <c r="P58" s="1">
        <v>45522</v>
      </c>
      <c r="Q58" t="str">
        <f>IF(Hypertension_data[[#This Row],[BP_Controlled_After_3_Months]]=1,"Controlled","Not Controlled")</f>
        <v>Not Controlled</v>
      </c>
      <c r="R58">
        <f t="shared" si="0"/>
        <v>0</v>
      </c>
      <c r="S58">
        <f t="shared" si="2"/>
        <v>0</v>
      </c>
      <c r="T58" s="11" t="str">
        <f t="shared" si="1"/>
        <v>70+</v>
      </c>
    </row>
    <row r="59" spans="1:20" x14ac:dyDescent="0.35">
      <c r="A59" t="s">
        <v>68</v>
      </c>
      <c r="B59">
        <v>74</v>
      </c>
      <c r="C59" t="s">
        <v>12</v>
      </c>
      <c r="D59">
        <v>0</v>
      </c>
      <c r="E59">
        <v>1</v>
      </c>
      <c r="F59">
        <v>1</v>
      </c>
      <c r="G59">
        <v>0</v>
      </c>
      <c r="H59">
        <v>185</v>
      </c>
      <c r="I59">
        <v>99</v>
      </c>
      <c r="J59" t="s">
        <v>13</v>
      </c>
      <c r="K59" t="s">
        <v>6</v>
      </c>
      <c r="L59">
        <v>160</v>
      </c>
      <c r="M59">
        <v>84</v>
      </c>
      <c r="N59">
        <v>0</v>
      </c>
      <c r="O59">
        <v>6</v>
      </c>
      <c r="P59" s="1">
        <v>45593</v>
      </c>
      <c r="Q59" t="str">
        <f>IF(Hypertension_data[[#This Row],[BP_Controlled_After_3_Months]]=1,"Controlled","Not Controlled")</f>
        <v>Not Controlled</v>
      </c>
      <c r="R59">
        <f t="shared" si="0"/>
        <v>25</v>
      </c>
      <c r="S59">
        <f t="shared" si="2"/>
        <v>15</v>
      </c>
      <c r="T59" s="11" t="str">
        <f t="shared" si="1"/>
        <v>70+</v>
      </c>
    </row>
    <row r="60" spans="1:20" x14ac:dyDescent="0.35">
      <c r="A60" t="s">
        <v>69</v>
      </c>
      <c r="B60">
        <v>72</v>
      </c>
      <c r="C60" t="s">
        <v>1</v>
      </c>
      <c r="D60">
        <v>0</v>
      </c>
      <c r="E60">
        <v>1</v>
      </c>
      <c r="F60">
        <v>1</v>
      </c>
      <c r="G60">
        <v>1</v>
      </c>
      <c r="H60">
        <v>157</v>
      </c>
      <c r="I60">
        <v>116</v>
      </c>
      <c r="J60" t="s">
        <v>10</v>
      </c>
      <c r="K60" t="s">
        <v>15</v>
      </c>
      <c r="L60">
        <v>141</v>
      </c>
      <c r="M60">
        <v>107</v>
      </c>
      <c r="N60">
        <v>0</v>
      </c>
      <c r="O60">
        <v>5</v>
      </c>
      <c r="P60" s="1">
        <v>45583</v>
      </c>
      <c r="Q60" t="str">
        <f>IF(Hypertension_data[[#This Row],[BP_Controlled_After_3_Months]]=1,"Controlled","Not Controlled")</f>
        <v>Not Controlled</v>
      </c>
      <c r="R60">
        <f t="shared" si="0"/>
        <v>16</v>
      </c>
      <c r="S60">
        <f t="shared" si="2"/>
        <v>9</v>
      </c>
      <c r="T60" s="11" t="str">
        <f t="shared" si="1"/>
        <v>70+</v>
      </c>
    </row>
    <row r="61" spans="1:20" x14ac:dyDescent="0.35">
      <c r="A61" t="s">
        <v>70</v>
      </c>
      <c r="B61">
        <v>48</v>
      </c>
      <c r="C61" t="s">
        <v>12</v>
      </c>
      <c r="D61">
        <v>1</v>
      </c>
      <c r="E61">
        <v>0</v>
      </c>
      <c r="F61">
        <v>0</v>
      </c>
      <c r="G61">
        <v>0</v>
      </c>
      <c r="H61">
        <v>157</v>
      </c>
      <c r="I61">
        <v>106</v>
      </c>
      <c r="J61" t="s">
        <v>5</v>
      </c>
      <c r="K61" t="s">
        <v>6</v>
      </c>
      <c r="L61">
        <v>148</v>
      </c>
      <c r="M61">
        <v>101</v>
      </c>
      <c r="N61">
        <v>0</v>
      </c>
      <c r="O61">
        <v>1</v>
      </c>
      <c r="P61" s="1">
        <v>45513</v>
      </c>
      <c r="Q61" t="str">
        <f>IF(Hypertension_data[[#This Row],[BP_Controlled_After_3_Months]]=1,"Controlled","Not Controlled")</f>
        <v>Not Controlled</v>
      </c>
      <c r="R61">
        <f t="shared" si="0"/>
        <v>9</v>
      </c>
      <c r="S61">
        <f t="shared" si="2"/>
        <v>5</v>
      </c>
      <c r="T61" s="11" t="str">
        <f t="shared" si="1"/>
        <v>40-49</v>
      </c>
    </row>
    <row r="62" spans="1:20" x14ac:dyDescent="0.35">
      <c r="A62" t="s">
        <v>71</v>
      </c>
      <c r="B62">
        <v>77</v>
      </c>
      <c r="C62" t="s">
        <v>12</v>
      </c>
      <c r="D62">
        <v>0</v>
      </c>
      <c r="E62">
        <v>1</v>
      </c>
      <c r="F62">
        <v>1</v>
      </c>
      <c r="G62">
        <v>1</v>
      </c>
      <c r="H62">
        <v>183</v>
      </c>
      <c r="I62">
        <v>116</v>
      </c>
      <c r="J62" t="s">
        <v>5</v>
      </c>
      <c r="K62" t="s">
        <v>3</v>
      </c>
      <c r="L62">
        <v>179</v>
      </c>
      <c r="M62">
        <v>114</v>
      </c>
      <c r="N62">
        <v>0</v>
      </c>
      <c r="O62">
        <v>5</v>
      </c>
      <c r="P62" s="1">
        <v>45312</v>
      </c>
      <c r="Q62" t="str">
        <f>IF(Hypertension_data[[#This Row],[BP_Controlled_After_3_Months]]=1,"Controlled","Not Controlled")</f>
        <v>Not Controlled</v>
      </c>
      <c r="R62">
        <f t="shared" si="0"/>
        <v>4</v>
      </c>
      <c r="S62">
        <f t="shared" si="2"/>
        <v>2</v>
      </c>
      <c r="T62" s="11" t="str">
        <f t="shared" si="1"/>
        <v>70+</v>
      </c>
    </row>
    <row r="63" spans="1:20" x14ac:dyDescent="0.35">
      <c r="A63" t="s">
        <v>72</v>
      </c>
      <c r="B63">
        <v>78</v>
      </c>
      <c r="C63" t="s">
        <v>1</v>
      </c>
      <c r="D63">
        <v>0</v>
      </c>
      <c r="E63">
        <v>0</v>
      </c>
      <c r="F63">
        <v>0</v>
      </c>
      <c r="G63">
        <v>1</v>
      </c>
      <c r="H63">
        <v>177</v>
      </c>
      <c r="I63">
        <v>103</v>
      </c>
      <c r="J63" t="s">
        <v>13</v>
      </c>
      <c r="K63" t="s">
        <v>6</v>
      </c>
      <c r="L63">
        <v>154</v>
      </c>
      <c r="M63">
        <v>90</v>
      </c>
      <c r="N63">
        <v>0</v>
      </c>
      <c r="O63">
        <v>3</v>
      </c>
      <c r="P63" s="1">
        <v>45456</v>
      </c>
      <c r="Q63" t="str">
        <f>IF(Hypertension_data[[#This Row],[BP_Controlled_After_3_Months]]=1,"Controlled","Not Controlled")</f>
        <v>Not Controlled</v>
      </c>
      <c r="R63">
        <f t="shared" si="0"/>
        <v>23</v>
      </c>
      <c r="S63">
        <f t="shared" si="2"/>
        <v>13</v>
      </c>
      <c r="T63" s="11" t="str">
        <f t="shared" si="1"/>
        <v>70+</v>
      </c>
    </row>
    <row r="64" spans="1:20" x14ac:dyDescent="0.35">
      <c r="A64" t="s">
        <v>73</v>
      </c>
      <c r="B64">
        <v>72</v>
      </c>
      <c r="C64" t="s">
        <v>1</v>
      </c>
      <c r="D64">
        <v>1</v>
      </c>
      <c r="E64">
        <v>0</v>
      </c>
      <c r="F64">
        <v>0</v>
      </c>
      <c r="G64">
        <v>0</v>
      </c>
      <c r="H64">
        <v>158</v>
      </c>
      <c r="I64">
        <v>111</v>
      </c>
      <c r="J64" t="s">
        <v>19</v>
      </c>
      <c r="K64" t="s">
        <v>3</v>
      </c>
      <c r="L64">
        <v>157</v>
      </c>
      <c r="M64">
        <v>111</v>
      </c>
      <c r="N64">
        <v>0</v>
      </c>
      <c r="O64">
        <v>3</v>
      </c>
      <c r="P64" s="1">
        <v>45421</v>
      </c>
      <c r="Q64" t="str">
        <f>IF(Hypertension_data[[#This Row],[BP_Controlled_After_3_Months]]=1,"Controlled","Not Controlled")</f>
        <v>Not Controlled</v>
      </c>
      <c r="R64">
        <f t="shared" si="0"/>
        <v>1</v>
      </c>
      <c r="S64">
        <f t="shared" si="2"/>
        <v>0</v>
      </c>
      <c r="T64" s="11" t="str">
        <f t="shared" si="1"/>
        <v>70+</v>
      </c>
    </row>
    <row r="65" spans="1:20" x14ac:dyDescent="0.35">
      <c r="A65" t="s">
        <v>74</v>
      </c>
      <c r="B65">
        <v>50</v>
      </c>
      <c r="C65" t="s">
        <v>1</v>
      </c>
      <c r="D65">
        <v>0</v>
      </c>
      <c r="E65">
        <v>1</v>
      </c>
      <c r="F65">
        <v>0</v>
      </c>
      <c r="G65">
        <v>0</v>
      </c>
      <c r="H65">
        <v>143</v>
      </c>
      <c r="I65">
        <v>96</v>
      </c>
      <c r="J65" t="s">
        <v>5</v>
      </c>
      <c r="K65" t="s">
        <v>6</v>
      </c>
      <c r="L65">
        <v>125</v>
      </c>
      <c r="M65">
        <v>86</v>
      </c>
      <c r="N65">
        <v>1</v>
      </c>
      <c r="O65">
        <v>1</v>
      </c>
      <c r="P65" s="1">
        <v>45396</v>
      </c>
      <c r="Q65" t="str">
        <f>IF(Hypertension_data[[#This Row],[BP_Controlled_After_3_Months]]=1,"Controlled","Not Controlled")</f>
        <v>Controlled</v>
      </c>
      <c r="R65">
        <f t="shared" si="0"/>
        <v>18</v>
      </c>
      <c r="S65">
        <f t="shared" si="2"/>
        <v>10</v>
      </c>
      <c r="T65" s="11" t="str">
        <f t="shared" si="1"/>
        <v>50-59</v>
      </c>
    </row>
    <row r="66" spans="1:20" x14ac:dyDescent="0.35">
      <c r="A66" t="s">
        <v>75</v>
      </c>
      <c r="B66">
        <v>47</v>
      </c>
      <c r="C66" t="s">
        <v>1</v>
      </c>
      <c r="D66">
        <v>0</v>
      </c>
      <c r="E66">
        <v>0</v>
      </c>
      <c r="F66">
        <v>0</v>
      </c>
      <c r="G66">
        <v>1</v>
      </c>
      <c r="H66">
        <v>141</v>
      </c>
      <c r="I66">
        <v>110</v>
      </c>
      <c r="J66" t="s">
        <v>5</v>
      </c>
      <c r="K66" t="s">
        <v>15</v>
      </c>
      <c r="L66">
        <v>121</v>
      </c>
      <c r="M66">
        <v>98</v>
      </c>
      <c r="N66">
        <v>0</v>
      </c>
      <c r="O66">
        <v>1</v>
      </c>
      <c r="P66" s="1">
        <v>45574</v>
      </c>
      <c r="Q66" t="str">
        <f>IF(Hypertension_data[[#This Row],[BP_Controlled_After_3_Months]]=1,"Controlled","Not Controlled")</f>
        <v>Not Controlled</v>
      </c>
      <c r="R66">
        <f t="shared" ref="R66:R129" si="3">H66-L66</f>
        <v>20</v>
      </c>
      <c r="S66">
        <f t="shared" ref="S66:S129" si="4">I66-M66</f>
        <v>12</v>
      </c>
      <c r="T66" s="11" t="str">
        <f t="shared" ref="T66:T129" si="5">IF(B66&lt;40,"30-39",
IF(B66&lt;50,"40-49",
IF(B66&lt;60,"50-59",
IF(B66&lt;70,"60-69",
"70+"))))</f>
        <v>40-49</v>
      </c>
    </row>
    <row r="67" spans="1:20" x14ac:dyDescent="0.35">
      <c r="A67" t="s">
        <v>76</v>
      </c>
      <c r="B67">
        <v>56</v>
      </c>
      <c r="C67" t="s">
        <v>1</v>
      </c>
      <c r="D67">
        <v>1</v>
      </c>
      <c r="E67">
        <v>1</v>
      </c>
      <c r="F67">
        <v>0</v>
      </c>
      <c r="G67">
        <v>1</v>
      </c>
      <c r="H67">
        <v>181</v>
      </c>
      <c r="I67">
        <v>116</v>
      </c>
      <c r="J67" t="s">
        <v>10</v>
      </c>
      <c r="K67" t="s">
        <v>6</v>
      </c>
      <c r="L67">
        <v>165</v>
      </c>
      <c r="M67">
        <v>107</v>
      </c>
      <c r="N67">
        <v>0</v>
      </c>
      <c r="O67">
        <v>4</v>
      </c>
      <c r="P67" s="1">
        <v>45539</v>
      </c>
      <c r="Q67" t="str">
        <f>IF(Hypertension_data[[#This Row],[BP_Controlled_After_3_Months]]=1,"Controlled","Not Controlled")</f>
        <v>Not Controlled</v>
      </c>
      <c r="R67">
        <f t="shared" si="3"/>
        <v>16</v>
      </c>
      <c r="S67">
        <f t="shared" si="4"/>
        <v>9</v>
      </c>
      <c r="T67" s="11" t="str">
        <f t="shared" si="5"/>
        <v>50-59</v>
      </c>
    </row>
    <row r="68" spans="1:20" x14ac:dyDescent="0.35">
      <c r="A68" t="s">
        <v>77</v>
      </c>
      <c r="B68">
        <v>60</v>
      </c>
      <c r="C68" t="s">
        <v>1</v>
      </c>
      <c r="D68">
        <v>0</v>
      </c>
      <c r="E68">
        <v>1</v>
      </c>
      <c r="F68">
        <v>0</v>
      </c>
      <c r="G68">
        <v>1</v>
      </c>
      <c r="H68">
        <v>178</v>
      </c>
      <c r="I68">
        <v>106</v>
      </c>
      <c r="J68" t="s">
        <v>13</v>
      </c>
      <c r="K68" t="s">
        <v>15</v>
      </c>
      <c r="L68">
        <v>154</v>
      </c>
      <c r="M68">
        <v>92</v>
      </c>
      <c r="N68">
        <v>0</v>
      </c>
      <c r="O68">
        <v>5</v>
      </c>
      <c r="P68" s="1">
        <v>45428</v>
      </c>
      <c r="Q68" t="str">
        <f>IF(Hypertension_data[[#This Row],[BP_Controlled_After_3_Months]]=1,"Controlled","Not Controlled")</f>
        <v>Not Controlled</v>
      </c>
      <c r="R68">
        <f t="shared" si="3"/>
        <v>24</v>
      </c>
      <c r="S68">
        <f t="shared" si="4"/>
        <v>14</v>
      </c>
      <c r="T68" s="11" t="str">
        <f t="shared" si="5"/>
        <v>60-69</v>
      </c>
    </row>
    <row r="69" spans="1:20" x14ac:dyDescent="0.35">
      <c r="A69" t="s">
        <v>78</v>
      </c>
      <c r="B69">
        <v>82</v>
      </c>
      <c r="C69" t="s">
        <v>1</v>
      </c>
      <c r="D69">
        <v>0</v>
      </c>
      <c r="E69">
        <v>0</v>
      </c>
      <c r="F69">
        <v>0</v>
      </c>
      <c r="G69">
        <v>1</v>
      </c>
      <c r="H69">
        <v>168</v>
      </c>
      <c r="I69">
        <v>107</v>
      </c>
      <c r="J69" t="s">
        <v>19</v>
      </c>
      <c r="K69" t="s">
        <v>6</v>
      </c>
      <c r="L69">
        <v>152</v>
      </c>
      <c r="M69">
        <v>98</v>
      </c>
      <c r="N69">
        <v>0</v>
      </c>
      <c r="O69">
        <v>4</v>
      </c>
      <c r="P69" s="1">
        <v>45525</v>
      </c>
      <c r="Q69" t="str">
        <f>IF(Hypertension_data[[#This Row],[BP_Controlled_After_3_Months]]=1,"Controlled","Not Controlled")</f>
        <v>Not Controlled</v>
      </c>
      <c r="R69">
        <f t="shared" si="3"/>
        <v>16</v>
      </c>
      <c r="S69">
        <f t="shared" si="4"/>
        <v>9</v>
      </c>
      <c r="T69" s="11" t="str">
        <f t="shared" si="5"/>
        <v>70+</v>
      </c>
    </row>
    <row r="70" spans="1:20" x14ac:dyDescent="0.35">
      <c r="A70" t="s">
        <v>79</v>
      </c>
      <c r="B70">
        <v>50</v>
      </c>
      <c r="C70" t="s">
        <v>1</v>
      </c>
      <c r="D70">
        <v>1</v>
      </c>
      <c r="E70">
        <v>0</v>
      </c>
      <c r="F70">
        <v>1</v>
      </c>
      <c r="G70">
        <v>0</v>
      </c>
      <c r="H70">
        <v>142</v>
      </c>
      <c r="I70">
        <v>100</v>
      </c>
      <c r="J70" t="s">
        <v>13</v>
      </c>
      <c r="K70" t="s">
        <v>6</v>
      </c>
      <c r="L70">
        <v>118</v>
      </c>
      <c r="M70">
        <v>86</v>
      </c>
      <c r="N70">
        <v>1</v>
      </c>
      <c r="O70">
        <v>2</v>
      </c>
      <c r="P70" s="1">
        <v>45545</v>
      </c>
      <c r="Q70" t="str">
        <f>IF(Hypertension_data[[#This Row],[BP_Controlled_After_3_Months]]=1,"Controlled","Not Controlled")</f>
        <v>Controlled</v>
      </c>
      <c r="R70">
        <f t="shared" si="3"/>
        <v>24</v>
      </c>
      <c r="S70">
        <f t="shared" si="4"/>
        <v>14</v>
      </c>
      <c r="T70" s="11" t="str">
        <f t="shared" si="5"/>
        <v>50-59</v>
      </c>
    </row>
    <row r="71" spans="1:20" x14ac:dyDescent="0.35">
      <c r="A71" t="s">
        <v>80</v>
      </c>
      <c r="B71">
        <v>32</v>
      </c>
      <c r="C71" t="s">
        <v>1</v>
      </c>
      <c r="D71">
        <v>0</v>
      </c>
      <c r="E71">
        <v>1</v>
      </c>
      <c r="F71">
        <v>0</v>
      </c>
      <c r="G71">
        <v>1</v>
      </c>
      <c r="H71">
        <v>173</v>
      </c>
      <c r="I71">
        <v>119</v>
      </c>
      <c r="J71" t="s">
        <v>19</v>
      </c>
      <c r="K71" t="s">
        <v>15</v>
      </c>
      <c r="L71">
        <v>154</v>
      </c>
      <c r="M71">
        <v>108</v>
      </c>
      <c r="N71">
        <v>0</v>
      </c>
      <c r="O71">
        <v>2</v>
      </c>
      <c r="P71" s="1">
        <v>45330</v>
      </c>
      <c r="Q71" t="str">
        <f>IF(Hypertension_data[[#This Row],[BP_Controlled_After_3_Months]]=1,"Controlled","Not Controlled")</f>
        <v>Not Controlled</v>
      </c>
      <c r="R71">
        <f t="shared" si="3"/>
        <v>19</v>
      </c>
      <c r="S71">
        <f t="shared" si="4"/>
        <v>11</v>
      </c>
      <c r="T71" s="11" t="str">
        <f t="shared" si="5"/>
        <v>30-39</v>
      </c>
    </row>
    <row r="72" spans="1:20" x14ac:dyDescent="0.35">
      <c r="A72" t="s">
        <v>81</v>
      </c>
      <c r="B72">
        <v>60</v>
      </c>
      <c r="C72" t="s">
        <v>12</v>
      </c>
      <c r="D72">
        <v>0</v>
      </c>
      <c r="E72">
        <v>0</v>
      </c>
      <c r="F72">
        <v>1</v>
      </c>
      <c r="G72">
        <v>0</v>
      </c>
      <c r="H72">
        <v>183</v>
      </c>
      <c r="I72">
        <v>117</v>
      </c>
      <c r="J72" t="s">
        <v>5</v>
      </c>
      <c r="K72" t="s">
        <v>6</v>
      </c>
      <c r="L72">
        <v>165</v>
      </c>
      <c r="M72">
        <v>107</v>
      </c>
      <c r="N72">
        <v>0</v>
      </c>
      <c r="O72">
        <v>5</v>
      </c>
      <c r="P72" s="1">
        <v>45310</v>
      </c>
      <c r="Q72" t="str">
        <f>IF(Hypertension_data[[#This Row],[BP_Controlled_After_3_Months]]=1,"Controlled","Not Controlled")</f>
        <v>Not Controlled</v>
      </c>
      <c r="R72">
        <f t="shared" si="3"/>
        <v>18</v>
      </c>
      <c r="S72">
        <f t="shared" si="4"/>
        <v>10</v>
      </c>
      <c r="T72" s="11" t="str">
        <f t="shared" si="5"/>
        <v>60-69</v>
      </c>
    </row>
    <row r="73" spans="1:20" x14ac:dyDescent="0.35">
      <c r="A73" t="s">
        <v>82</v>
      </c>
      <c r="B73">
        <v>69</v>
      </c>
      <c r="C73" t="s">
        <v>1</v>
      </c>
      <c r="D73">
        <v>1</v>
      </c>
      <c r="E73">
        <v>0</v>
      </c>
      <c r="F73">
        <v>1</v>
      </c>
      <c r="G73">
        <v>1</v>
      </c>
      <c r="H73">
        <v>167</v>
      </c>
      <c r="I73">
        <v>93</v>
      </c>
      <c r="J73" t="s">
        <v>13</v>
      </c>
      <c r="K73" t="s">
        <v>3</v>
      </c>
      <c r="L73">
        <v>155</v>
      </c>
      <c r="M73">
        <v>86</v>
      </c>
      <c r="N73">
        <v>0</v>
      </c>
      <c r="O73">
        <v>3</v>
      </c>
      <c r="P73" s="1">
        <v>45306</v>
      </c>
      <c r="Q73" t="str">
        <f>IF(Hypertension_data[[#This Row],[BP_Controlled_After_3_Months]]=1,"Controlled","Not Controlled")</f>
        <v>Not Controlled</v>
      </c>
      <c r="R73">
        <f t="shared" si="3"/>
        <v>12</v>
      </c>
      <c r="S73">
        <f t="shared" si="4"/>
        <v>7</v>
      </c>
      <c r="T73" s="11" t="str">
        <f t="shared" si="5"/>
        <v>60-69</v>
      </c>
    </row>
    <row r="74" spans="1:20" x14ac:dyDescent="0.35">
      <c r="A74" t="s">
        <v>83</v>
      </c>
      <c r="B74">
        <v>32</v>
      </c>
      <c r="C74" t="s">
        <v>12</v>
      </c>
      <c r="D74">
        <v>1</v>
      </c>
      <c r="E74">
        <v>0</v>
      </c>
      <c r="F74">
        <v>0</v>
      </c>
      <c r="G74">
        <v>0</v>
      </c>
      <c r="H74">
        <v>167</v>
      </c>
      <c r="I74">
        <v>94</v>
      </c>
      <c r="J74" t="s">
        <v>10</v>
      </c>
      <c r="K74" t="s">
        <v>3</v>
      </c>
      <c r="L74">
        <v>157</v>
      </c>
      <c r="M74">
        <v>88</v>
      </c>
      <c r="N74">
        <v>0</v>
      </c>
      <c r="O74">
        <v>2</v>
      </c>
      <c r="P74" s="1">
        <v>45379</v>
      </c>
      <c r="Q74" t="str">
        <f>IF(Hypertension_data[[#This Row],[BP_Controlled_After_3_Months]]=1,"Controlled","Not Controlled")</f>
        <v>Not Controlled</v>
      </c>
      <c r="R74">
        <f t="shared" si="3"/>
        <v>10</v>
      </c>
      <c r="S74">
        <f t="shared" si="4"/>
        <v>6</v>
      </c>
      <c r="T74" s="11" t="str">
        <f t="shared" si="5"/>
        <v>30-39</v>
      </c>
    </row>
    <row r="75" spans="1:20" x14ac:dyDescent="0.35">
      <c r="A75" t="s">
        <v>84</v>
      </c>
      <c r="B75">
        <v>41</v>
      </c>
      <c r="C75" t="s">
        <v>1</v>
      </c>
      <c r="D75">
        <v>0</v>
      </c>
      <c r="E75">
        <v>1</v>
      </c>
      <c r="F75">
        <v>0</v>
      </c>
      <c r="G75">
        <v>1</v>
      </c>
      <c r="H75">
        <v>154</v>
      </c>
      <c r="I75">
        <v>104</v>
      </c>
      <c r="J75" t="s">
        <v>13</v>
      </c>
      <c r="K75" t="s">
        <v>6</v>
      </c>
      <c r="L75">
        <v>137</v>
      </c>
      <c r="M75">
        <v>94</v>
      </c>
      <c r="N75">
        <v>0</v>
      </c>
      <c r="O75">
        <v>4</v>
      </c>
      <c r="P75" s="1">
        <v>45439</v>
      </c>
      <c r="Q75" t="str">
        <f>IF(Hypertension_data[[#This Row],[BP_Controlled_After_3_Months]]=1,"Controlled","Not Controlled")</f>
        <v>Not Controlled</v>
      </c>
      <c r="R75">
        <f t="shared" si="3"/>
        <v>17</v>
      </c>
      <c r="S75">
        <f t="shared" si="4"/>
        <v>10</v>
      </c>
      <c r="T75" s="11" t="str">
        <f t="shared" si="5"/>
        <v>40-49</v>
      </c>
    </row>
    <row r="76" spans="1:20" x14ac:dyDescent="0.35">
      <c r="A76" t="s">
        <v>85</v>
      </c>
      <c r="B76">
        <v>73</v>
      </c>
      <c r="C76" t="s">
        <v>1</v>
      </c>
      <c r="D76">
        <v>1</v>
      </c>
      <c r="E76">
        <v>0</v>
      </c>
      <c r="F76">
        <v>0</v>
      </c>
      <c r="G76">
        <v>0</v>
      </c>
      <c r="H76">
        <v>180</v>
      </c>
      <c r="I76">
        <v>120</v>
      </c>
      <c r="J76" t="s">
        <v>19</v>
      </c>
      <c r="K76" t="s">
        <v>3</v>
      </c>
      <c r="L76">
        <v>176</v>
      </c>
      <c r="M76">
        <v>118</v>
      </c>
      <c r="N76">
        <v>0</v>
      </c>
      <c r="O76">
        <v>2</v>
      </c>
      <c r="P76" s="1">
        <v>45488</v>
      </c>
      <c r="Q76" t="str">
        <f>IF(Hypertension_data[[#This Row],[BP_Controlled_After_3_Months]]=1,"Controlled","Not Controlled")</f>
        <v>Not Controlled</v>
      </c>
      <c r="R76">
        <f t="shared" si="3"/>
        <v>4</v>
      </c>
      <c r="S76">
        <f t="shared" si="4"/>
        <v>2</v>
      </c>
      <c r="T76" s="11" t="str">
        <f t="shared" si="5"/>
        <v>70+</v>
      </c>
    </row>
    <row r="77" spans="1:20" x14ac:dyDescent="0.35">
      <c r="A77" t="s">
        <v>86</v>
      </c>
      <c r="B77">
        <v>84</v>
      </c>
      <c r="C77" t="s">
        <v>12</v>
      </c>
      <c r="D77">
        <v>1</v>
      </c>
      <c r="E77">
        <v>1</v>
      </c>
      <c r="F77">
        <v>0</v>
      </c>
      <c r="G77">
        <v>0</v>
      </c>
      <c r="H77">
        <v>176</v>
      </c>
      <c r="I77">
        <v>99</v>
      </c>
      <c r="J77" t="s">
        <v>13</v>
      </c>
      <c r="K77" t="s">
        <v>6</v>
      </c>
      <c r="L77">
        <v>151</v>
      </c>
      <c r="M77">
        <v>84</v>
      </c>
      <c r="N77">
        <v>0</v>
      </c>
      <c r="O77">
        <v>1</v>
      </c>
      <c r="P77" s="1">
        <v>45581</v>
      </c>
      <c r="Q77" t="str">
        <f>IF(Hypertension_data[[#This Row],[BP_Controlled_After_3_Months]]=1,"Controlled","Not Controlled")</f>
        <v>Not Controlled</v>
      </c>
      <c r="R77">
        <f t="shared" si="3"/>
        <v>25</v>
      </c>
      <c r="S77">
        <f t="shared" si="4"/>
        <v>15</v>
      </c>
      <c r="T77" s="11" t="str">
        <f t="shared" si="5"/>
        <v>70+</v>
      </c>
    </row>
    <row r="78" spans="1:20" x14ac:dyDescent="0.35">
      <c r="A78" t="s">
        <v>87</v>
      </c>
      <c r="B78">
        <v>85</v>
      </c>
      <c r="C78" t="s">
        <v>1</v>
      </c>
      <c r="D78">
        <v>0</v>
      </c>
      <c r="E78">
        <v>0</v>
      </c>
      <c r="F78">
        <v>1</v>
      </c>
      <c r="G78">
        <v>0</v>
      </c>
      <c r="H78">
        <v>154</v>
      </c>
      <c r="I78">
        <v>110</v>
      </c>
      <c r="J78" t="s">
        <v>10</v>
      </c>
      <c r="K78" t="s">
        <v>3</v>
      </c>
      <c r="L78">
        <v>144</v>
      </c>
      <c r="M78">
        <v>104</v>
      </c>
      <c r="N78">
        <v>0</v>
      </c>
      <c r="O78">
        <v>6</v>
      </c>
      <c r="P78" s="1">
        <v>45362</v>
      </c>
      <c r="Q78" t="str">
        <f>IF(Hypertension_data[[#This Row],[BP_Controlled_After_3_Months]]=1,"Controlled","Not Controlled")</f>
        <v>Not Controlled</v>
      </c>
      <c r="R78">
        <f t="shared" si="3"/>
        <v>10</v>
      </c>
      <c r="S78">
        <f t="shared" si="4"/>
        <v>6</v>
      </c>
      <c r="T78" s="11" t="str">
        <f t="shared" si="5"/>
        <v>70+</v>
      </c>
    </row>
    <row r="79" spans="1:20" x14ac:dyDescent="0.35">
      <c r="A79" t="s">
        <v>88</v>
      </c>
      <c r="B79">
        <v>70</v>
      </c>
      <c r="C79" t="s">
        <v>1</v>
      </c>
      <c r="D79">
        <v>1</v>
      </c>
      <c r="E79">
        <v>0</v>
      </c>
      <c r="F79">
        <v>0</v>
      </c>
      <c r="G79">
        <v>1</v>
      </c>
      <c r="H79">
        <v>177</v>
      </c>
      <c r="I79">
        <v>101</v>
      </c>
      <c r="J79" t="s">
        <v>13</v>
      </c>
      <c r="K79" t="s">
        <v>15</v>
      </c>
      <c r="L79">
        <v>150</v>
      </c>
      <c r="M79">
        <v>85</v>
      </c>
      <c r="N79">
        <v>0</v>
      </c>
      <c r="O79">
        <v>4</v>
      </c>
      <c r="P79" s="1">
        <v>45381</v>
      </c>
      <c r="Q79" t="str">
        <f>IF(Hypertension_data[[#This Row],[BP_Controlled_After_3_Months]]=1,"Controlled","Not Controlled")</f>
        <v>Not Controlled</v>
      </c>
      <c r="R79">
        <f t="shared" si="3"/>
        <v>27</v>
      </c>
      <c r="S79">
        <f t="shared" si="4"/>
        <v>16</v>
      </c>
      <c r="T79" s="11" t="str">
        <f t="shared" si="5"/>
        <v>70+</v>
      </c>
    </row>
    <row r="80" spans="1:20" x14ac:dyDescent="0.35">
      <c r="A80" t="s">
        <v>89</v>
      </c>
      <c r="B80">
        <v>42</v>
      </c>
      <c r="C80" t="s">
        <v>1</v>
      </c>
      <c r="D80">
        <v>0</v>
      </c>
      <c r="E80">
        <v>0</v>
      </c>
      <c r="F80">
        <v>1</v>
      </c>
      <c r="G80">
        <v>0</v>
      </c>
      <c r="H80">
        <v>170</v>
      </c>
      <c r="I80">
        <v>120</v>
      </c>
      <c r="J80" t="s">
        <v>8</v>
      </c>
      <c r="K80" t="s">
        <v>3</v>
      </c>
      <c r="L80">
        <v>163</v>
      </c>
      <c r="M80">
        <v>116</v>
      </c>
      <c r="N80">
        <v>0</v>
      </c>
      <c r="O80">
        <v>1</v>
      </c>
      <c r="P80" s="1">
        <v>45364</v>
      </c>
      <c r="Q80" t="str">
        <f>IF(Hypertension_data[[#This Row],[BP_Controlled_After_3_Months]]=1,"Controlled","Not Controlled")</f>
        <v>Not Controlled</v>
      </c>
      <c r="R80">
        <f t="shared" si="3"/>
        <v>7</v>
      </c>
      <c r="S80">
        <f t="shared" si="4"/>
        <v>4</v>
      </c>
      <c r="T80" s="11" t="str">
        <f t="shared" si="5"/>
        <v>40-49</v>
      </c>
    </row>
    <row r="81" spans="1:20" x14ac:dyDescent="0.35">
      <c r="A81" t="s">
        <v>90</v>
      </c>
      <c r="B81">
        <v>78</v>
      </c>
      <c r="C81" t="s">
        <v>1</v>
      </c>
      <c r="D81">
        <v>0</v>
      </c>
      <c r="E81">
        <v>0</v>
      </c>
      <c r="F81">
        <v>1</v>
      </c>
      <c r="G81">
        <v>0</v>
      </c>
      <c r="H81">
        <v>140</v>
      </c>
      <c r="I81">
        <v>98</v>
      </c>
      <c r="J81" t="s">
        <v>5</v>
      </c>
      <c r="K81" t="s">
        <v>15</v>
      </c>
      <c r="L81">
        <v>111</v>
      </c>
      <c r="M81">
        <v>81</v>
      </c>
      <c r="N81">
        <v>1</v>
      </c>
      <c r="O81">
        <v>6</v>
      </c>
      <c r="P81" s="1">
        <v>45636</v>
      </c>
      <c r="Q81" t="str">
        <f>IF(Hypertension_data[[#This Row],[BP_Controlled_After_3_Months]]=1,"Controlled","Not Controlled")</f>
        <v>Controlled</v>
      </c>
      <c r="R81">
        <f t="shared" si="3"/>
        <v>29</v>
      </c>
      <c r="S81">
        <f t="shared" si="4"/>
        <v>17</v>
      </c>
      <c r="T81" s="11" t="str">
        <f t="shared" si="5"/>
        <v>70+</v>
      </c>
    </row>
    <row r="82" spans="1:20" x14ac:dyDescent="0.35">
      <c r="A82" t="s">
        <v>91</v>
      </c>
      <c r="B82">
        <v>46</v>
      </c>
      <c r="C82" t="s">
        <v>12</v>
      </c>
      <c r="D82">
        <v>0</v>
      </c>
      <c r="E82">
        <v>1</v>
      </c>
      <c r="F82">
        <v>1</v>
      </c>
      <c r="G82">
        <v>0</v>
      </c>
      <c r="H82">
        <v>141</v>
      </c>
      <c r="I82">
        <v>109</v>
      </c>
      <c r="J82" t="s">
        <v>5</v>
      </c>
      <c r="K82" t="s">
        <v>6</v>
      </c>
      <c r="L82">
        <v>123</v>
      </c>
      <c r="M82">
        <v>99</v>
      </c>
      <c r="N82">
        <v>0</v>
      </c>
      <c r="O82">
        <v>6</v>
      </c>
      <c r="P82" s="1">
        <v>45529</v>
      </c>
      <c r="Q82" t="str">
        <f>IF(Hypertension_data[[#This Row],[BP_Controlled_After_3_Months]]=1,"Controlled","Not Controlled")</f>
        <v>Not Controlled</v>
      </c>
      <c r="R82">
        <f t="shared" si="3"/>
        <v>18</v>
      </c>
      <c r="S82">
        <f t="shared" si="4"/>
        <v>10</v>
      </c>
      <c r="T82" s="11" t="str">
        <f t="shared" si="5"/>
        <v>40-49</v>
      </c>
    </row>
    <row r="83" spans="1:20" x14ac:dyDescent="0.35">
      <c r="A83" t="s">
        <v>92</v>
      </c>
      <c r="B83">
        <v>74</v>
      </c>
      <c r="C83" t="s">
        <v>12</v>
      </c>
      <c r="D83">
        <v>0</v>
      </c>
      <c r="E83">
        <v>1</v>
      </c>
      <c r="F83">
        <v>1</v>
      </c>
      <c r="G83">
        <v>1</v>
      </c>
      <c r="H83">
        <v>142</v>
      </c>
      <c r="I83">
        <v>99</v>
      </c>
      <c r="J83" t="s">
        <v>19</v>
      </c>
      <c r="K83" t="s">
        <v>15</v>
      </c>
      <c r="L83">
        <v>124</v>
      </c>
      <c r="M83">
        <v>89</v>
      </c>
      <c r="N83">
        <v>1</v>
      </c>
      <c r="O83">
        <v>2</v>
      </c>
      <c r="P83" s="1">
        <v>45490</v>
      </c>
      <c r="Q83" t="str">
        <f>IF(Hypertension_data[[#This Row],[BP_Controlled_After_3_Months]]=1,"Controlled","Not Controlled")</f>
        <v>Controlled</v>
      </c>
      <c r="R83">
        <f t="shared" si="3"/>
        <v>18</v>
      </c>
      <c r="S83">
        <f t="shared" si="4"/>
        <v>10</v>
      </c>
      <c r="T83" s="11" t="str">
        <f t="shared" si="5"/>
        <v>70+</v>
      </c>
    </row>
    <row r="84" spans="1:20" x14ac:dyDescent="0.35">
      <c r="A84" t="s">
        <v>93</v>
      </c>
      <c r="B84">
        <v>59</v>
      </c>
      <c r="C84" t="s">
        <v>12</v>
      </c>
      <c r="D84">
        <v>0</v>
      </c>
      <c r="E84">
        <v>1</v>
      </c>
      <c r="F84">
        <v>0</v>
      </c>
      <c r="G84">
        <v>1</v>
      </c>
      <c r="H84">
        <v>171</v>
      </c>
      <c r="I84">
        <v>109</v>
      </c>
      <c r="J84" t="s">
        <v>19</v>
      </c>
      <c r="K84" t="s">
        <v>6</v>
      </c>
      <c r="L84">
        <v>158</v>
      </c>
      <c r="M84">
        <v>102</v>
      </c>
      <c r="N84">
        <v>0</v>
      </c>
      <c r="O84">
        <v>4</v>
      </c>
      <c r="P84" s="1">
        <v>45519</v>
      </c>
      <c r="Q84" t="str">
        <f>IF(Hypertension_data[[#This Row],[BP_Controlled_After_3_Months]]=1,"Controlled","Not Controlled")</f>
        <v>Not Controlled</v>
      </c>
      <c r="R84">
        <f t="shared" si="3"/>
        <v>13</v>
      </c>
      <c r="S84">
        <f t="shared" si="4"/>
        <v>7</v>
      </c>
      <c r="T84" s="11" t="str">
        <f t="shared" si="5"/>
        <v>50-59</v>
      </c>
    </row>
    <row r="85" spans="1:20" x14ac:dyDescent="0.35">
      <c r="A85" t="s">
        <v>94</v>
      </c>
      <c r="B85">
        <v>45</v>
      </c>
      <c r="C85" t="s">
        <v>12</v>
      </c>
      <c r="D85">
        <v>1</v>
      </c>
      <c r="E85">
        <v>0</v>
      </c>
      <c r="F85">
        <v>0</v>
      </c>
      <c r="G85">
        <v>1</v>
      </c>
      <c r="H85">
        <v>165</v>
      </c>
      <c r="I85">
        <v>98</v>
      </c>
      <c r="J85" t="s">
        <v>10</v>
      </c>
      <c r="K85" t="s">
        <v>15</v>
      </c>
      <c r="L85">
        <v>136</v>
      </c>
      <c r="M85">
        <v>81</v>
      </c>
      <c r="N85">
        <v>1</v>
      </c>
      <c r="O85">
        <v>2</v>
      </c>
      <c r="P85" s="1">
        <v>45620</v>
      </c>
      <c r="Q85" t="str">
        <f>IF(Hypertension_data[[#This Row],[BP_Controlled_After_3_Months]]=1,"Controlled","Not Controlled")</f>
        <v>Controlled</v>
      </c>
      <c r="R85">
        <f t="shared" si="3"/>
        <v>29</v>
      </c>
      <c r="S85">
        <f t="shared" si="4"/>
        <v>17</v>
      </c>
      <c r="T85" s="11" t="str">
        <f t="shared" si="5"/>
        <v>40-49</v>
      </c>
    </row>
    <row r="86" spans="1:20" x14ac:dyDescent="0.35">
      <c r="A86" t="s">
        <v>95</v>
      </c>
      <c r="B86">
        <v>70</v>
      </c>
      <c r="C86" t="s">
        <v>1</v>
      </c>
      <c r="D86">
        <v>1</v>
      </c>
      <c r="E86">
        <v>0</v>
      </c>
      <c r="F86">
        <v>1</v>
      </c>
      <c r="G86">
        <v>1</v>
      </c>
      <c r="H86">
        <v>190</v>
      </c>
      <c r="I86">
        <v>108</v>
      </c>
      <c r="J86" t="s">
        <v>10</v>
      </c>
      <c r="K86" t="s">
        <v>15</v>
      </c>
      <c r="L86">
        <v>169</v>
      </c>
      <c r="M86">
        <v>96</v>
      </c>
      <c r="N86">
        <v>0</v>
      </c>
      <c r="O86">
        <v>2</v>
      </c>
      <c r="P86" s="1">
        <v>45460</v>
      </c>
      <c r="Q86" t="str">
        <f>IF(Hypertension_data[[#This Row],[BP_Controlled_After_3_Months]]=1,"Controlled","Not Controlled")</f>
        <v>Not Controlled</v>
      </c>
      <c r="R86">
        <f t="shared" si="3"/>
        <v>21</v>
      </c>
      <c r="S86">
        <f t="shared" si="4"/>
        <v>12</v>
      </c>
      <c r="T86" s="11" t="str">
        <f t="shared" si="5"/>
        <v>70+</v>
      </c>
    </row>
    <row r="87" spans="1:20" x14ac:dyDescent="0.35">
      <c r="A87" t="s">
        <v>96</v>
      </c>
      <c r="B87">
        <v>79</v>
      </c>
      <c r="C87" t="s">
        <v>1</v>
      </c>
      <c r="D87">
        <v>1</v>
      </c>
      <c r="E87">
        <v>0</v>
      </c>
      <c r="F87">
        <v>1</v>
      </c>
      <c r="G87">
        <v>1</v>
      </c>
      <c r="H87">
        <v>174</v>
      </c>
      <c r="I87">
        <v>98</v>
      </c>
      <c r="J87" t="s">
        <v>10</v>
      </c>
      <c r="K87" t="s">
        <v>15</v>
      </c>
      <c r="L87">
        <v>159</v>
      </c>
      <c r="M87">
        <v>89</v>
      </c>
      <c r="N87">
        <v>0</v>
      </c>
      <c r="O87">
        <v>3</v>
      </c>
      <c r="P87" s="1">
        <v>45413</v>
      </c>
      <c r="Q87" t="str">
        <f>IF(Hypertension_data[[#This Row],[BP_Controlled_After_3_Months]]=1,"Controlled","Not Controlled")</f>
        <v>Not Controlled</v>
      </c>
      <c r="R87">
        <f t="shared" si="3"/>
        <v>15</v>
      </c>
      <c r="S87">
        <f t="shared" si="4"/>
        <v>9</v>
      </c>
      <c r="T87" s="11" t="str">
        <f t="shared" si="5"/>
        <v>70+</v>
      </c>
    </row>
    <row r="88" spans="1:20" x14ac:dyDescent="0.35">
      <c r="A88" t="s">
        <v>97</v>
      </c>
      <c r="B88">
        <v>67</v>
      </c>
      <c r="C88" t="s">
        <v>12</v>
      </c>
      <c r="D88">
        <v>1</v>
      </c>
      <c r="E88">
        <v>1</v>
      </c>
      <c r="F88">
        <v>0</v>
      </c>
      <c r="G88">
        <v>1</v>
      </c>
      <c r="H88">
        <v>148</v>
      </c>
      <c r="I88">
        <v>113</v>
      </c>
      <c r="J88" t="s">
        <v>19</v>
      </c>
      <c r="K88" t="s">
        <v>3</v>
      </c>
      <c r="L88">
        <v>141</v>
      </c>
      <c r="M88">
        <v>109</v>
      </c>
      <c r="N88">
        <v>0</v>
      </c>
      <c r="O88">
        <v>4</v>
      </c>
      <c r="P88" s="1">
        <v>45477</v>
      </c>
      <c r="Q88" t="str">
        <f>IF(Hypertension_data[[#This Row],[BP_Controlled_After_3_Months]]=1,"Controlled","Not Controlled")</f>
        <v>Not Controlled</v>
      </c>
      <c r="R88">
        <f t="shared" si="3"/>
        <v>7</v>
      </c>
      <c r="S88">
        <f t="shared" si="4"/>
        <v>4</v>
      </c>
      <c r="T88" s="11" t="str">
        <f t="shared" si="5"/>
        <v>60-69</v>
      </c>
    </row>
    <row r="89" spans="1:20" x14ac:dyDescent="0.35">
      <c r="A89" t="s">
        <v>98</v>
      </c>
      <c r="B89">
        <v>62</v>
      </c>
      <c r="C89" t="s">
        <v>1</v>
      </c>
      <c r="D89">
        <v>0</v>
      </c>
      <c r="E89">
        <v>1</v>
      </c>
      <c r="F89">
        <v>1</v>
      </c>
      <c r="G89">
        <v>0</v>
      </c>
      <c r="H89">
        <v>169</v>
      </c>
      <c r="I89">
        <v>110</v>
      </c>
      <c r="J89" t="s">
        <v>2</v>
      </c>
      <c r="K89" t="s">
        <v>15</v>
      </c>
      <c r="L89">
        <v>139</v>
      </c>
      <c r="M89">
        <v>92</v>
      </c>
      <c r="N89">
        <v>0</v>
      </c>
      <c r="O89">
        <v>6</v>
      </c>
      <c r="P89" s="1">
        <v>45347</v>
      </c>
      <c r="Q89" t="str">
        <f>IF(Hypertension_data[[#This Row],[BP_Controlled_After_3_Months]]=1,"Controlled","Not Controlled")</f>
        <v>Not Controlled</v>
      </c>
      <c r="R89">
        <f t="shared" si="3"/>
        <v>30</v>
      </c>
      <c r="S89">
        <f t="shared" si="4"/>
        <v>18</v>
      </c>
      <c r="T89" s="11" t="str">
        <f t="shared" si="5"/>
        <v>60-69</v>
      </c>
    </row>
    <row r="90" spans="1:20" x14ac:dyDescent="0.35">
      <c r="A90" t="s">
        <v>99</v>
      </c>
      <c r="B90">
        <v>61</v>
      </c>
      <c r="C90" t="s">
        <v>12</v>
      </c>
      <c r="D90">
        <v>1</v>
      </c>
      <c r="E90">
        <v>1</v>
      </c>
      <c r="F90">
        <v>0</v>
      </c>
      <c r="G90">
        <v>1</v>
      </c>
      <c r="H90">
        <v>144</v>
      </c>
      <c r="I90">
        <v>94</v>
      </c>
      <c r="J90" t="s">
        <v>8</v>
      </c>
      <c r="K90" t="s">
        <v>3</v>
      </c>
      <c r="L90">
        <v>135</v>
      </c>
      <c r="M90">
        <v>89</v>
      </c>
      <c r="N90">
        <v>1</v>
      </c>
      <c r="O90">
        <v>5</v>
      </c>
      <c r="P90" s="1">
        <v>45442</v>
      </c>
      <c r="Q90" t="str">
        <f>IF(Hypertension_data[[#This Row],[BP_Controlled_After_3_Months]]=1,"Controlled","Not Controlled")</f>
        <v>Controlled</v>
      </c>
      <c r="R90">
        <f t="shared" si="3"/>
        <v>9</v>
      </c>
      <c r="S90">
        <f t="shared" si="4"/>
        <v>5</v>
      </c>
      <c r="T90" s="11" t="str">
        <f t="shared" si="5"/>
        <v>60-69</v>
      </c>
    </row>
    <row r="91" spans="1:20" x14ac:dyDescent="0.35">
      <c r="A91" t="s">
        <v>100</v>
      </c>
      <c r="B91">
        <v>59</v>
      </c>
      <c r="C91" t="s">
        <v>12</v>
      </c>
      <c r="D91">
        <v>1</v>
      </c>
      <c r="E91">
        <v>1</v>
      </c>
      <c r="F91">
        <v>1</v>
      </c>
      <c r="G91">
        <v>0</v>
      </c>
      <c r="H91">
        <v>168</v>
      </c>
      <c r="I91">
        <v>118</v>
      </c>
      <c r="J91" t="s">
        <v>10</v>
      </c>
      <c r="K91" t="s">
        <v>6</v>
      </c>
      <c r="L91">
        <v>153</v>
      </c>
      <c r="M91">
        <v>109</v>
      </c>
      <c r="N91">
        <v>0</v>
      </c>
      <c r="O91">
        <v>4</v>
      </c>
      <c r="P91" s="1">
        <v>45340</v>
      </c>
      <c r="Q91" t="str">
        <f>IF(Hypertension_data[[#This Row],[BP_Controlled_After_3_Months]]=1,"Controlled","Not Controlled")</f>
        <v>Not Controlled</v>
      </c>
      <c r="R91">
        <f t="shared" si="3"/>
        <v>15</v>
      </c>
      <c r="S91">
        <f t="shared" si="4"/>
        <v>9</v>
      </c>
      <c r="T91" s="11" t="str">
        <f t="shared" si="5"/>
        <v>50-59</v>
      </c>
    </row>
    <row r="92" spans="1:20" x14ac:dyDescent="0.35">
      <c r="A92" t="s">
        <v>101</v>
      </c>
      <c r="B92">
        <v>50</v>
      </c>
      <c r="C92" t="s">
        <v>12</v>
      </c>
      <c r="D92">
        <v>0</v>
      </c>
      <c r="E92">
        <v>0</v>
      </c>
      <c r="F92">
        <v>0</v>
      </c>
      <c r="G92">
        <v>1</v>
      </c>
      <c r="H92">
        <v>183</v>
      </c>
      <c r="I92">
        <v>119</v>
      </c>
      <c r="J92" t="s">
        <v>19</v>
      </c>
      <c r="K92" t="s">
        <v>15</v>
      </c>
      <c r="L92">
        <v>166</v>
      </c>
      <c r="M92">
        <v>109</v>
      </c>
      <c r="N92">
        <v>0</v>
      </c>
      <c r="O92">
        <v>4</v>
      </c>
      <c r="P92" s="1">
        <v>45341</v>
      </c>
      <c r="Q92" t="str">
        <f>IF(Hypertension_data[[#This Row],[BP_Controlled_After_3_Months]]=1,"Controlled","Not Controlled")</f>
        <v>Not Controlled</v>
      </c>
      <c r="R92">
        <f t="shared" si="3"/>
        <v>17</v>
      </c>
      <c r="S92">
        <f t="shared" si="4"/>
        <v>10</v>
      </c>
      <c r="T92" s="11" t="str">
        <f t="shared" si="5"/>
        <v>50-59</v>
      </c>
    </row>
    <row r="93" spans="1:20" x14ac:dyDescent="0.35">
      <c r="A93" t="s">
        <v>102</v>
      </c>
      <c r="B93">
        <v>77</v>
      </c>
      <c r="C93" t="s">
        <v>12</v>
      </c>
      <c r="D93">
        <v>1</v>
      </c>
      <c r="E93">
        <v>1</v>
      </c>
      <c r="F93">
        <v>0</v>
      </c>
      <c r="G93">
        <v>1</v>
      </c>
      <c r="H93">
        <v>166</v>
      </c>
      <c r="I93">
        <v>101</v>
      </c>
      <c r="J93" t="s">
        <v>13</v>
      </c>
      <c r="K93" t="s">
        <v>6</v>
      </c>
      <c r="L93">
        <v>147</v>
      </c>
      <c r="M93">
        <v>90</v>
      </c>
      <c r="N93">
        <v>0</v>
      </c>
      <c r="O93">
        <v>3</v>
      </c>
      <c r="P93" s="1">
        <v>45345</v>
      </c>
      <c r="Q93" t="str">
        <f>IF(Hypertension_data[[#This Row],[BP_Controlled_After_3_Months]]=1,"Controlled","Not Controlled")</f>
        <v>Not Controlled</v>
      </c>
      <c r="R93">
        <f t="shared" si="3"/>
        <v>19</v>
      </c>
      <c r="S93">
        <f t="shared" si="4"/>
        <v>11</v>
      </c>
      <c r="T93" s="11" t="str">
        <f t="shared" si="5"/>
        <v>70+</v>
      </c>
    </row>
    <row r="94" spans="1:20" x14ac:dyDescent="0.35">
      <c r="A94" t="s">
        <v>103</v>
      </c>
      <c r="B94">
        <v>66</v>
      </c>
      <c r="C94" t="s">
        <v>1</v>
      </c>
      <c r="D94">
        <v>1</v>
      </c>
      <c r="E94">
        <v>0</v>
      </c>
      <c r="F94">
        <v>1</v>
      </c>
      <c r="G94">
        <v>1</v>
      </c>
      <c r="H94">
        <v>162</v>
      </c>
      <c r="I94">
        <v>117</v>
      </c>
      <c r="J94" t="s">
        <v>5</v>
      </c>
      <c r="K94" t="s">
        <v>6</v>
      </c>
      <c r="L94">
        <v>150</v>
      </c>
      <c r="M94">
        <v>110</v>
      </c>
      <c r="N94">
        <v>0</v>
      </c>
      <c r="O94">
        <v>2</v>
      </c>
      <c r="P94" s="1">
        <v>45511</v>
      </c>
      <c r="Q94" t="str">
        <f>IF(Hypertension_data[[#This Row],[BP_Controlled_After_3_Months]]=1,"Controlled","Not Controlled")</f>
        <v>Not Controlled</v>
      </c>
      <c r="R94">
        <f t="shared" si="3"/>
        <v>12</v>
      </c>
      <c r="S94">
        <f t="shared" si="4"/>
        <v>7</v>
      </c>
      <c r="T94" s="11" t="str">
        <f t="shared" si="5"/>
        <v>60-69</v>
      </c>
    </row>
    <row r="95" spans="1:20" x14ac:dyDescent="0.35">
      <c r="A95" t="s">
        <v>104</v>
      </c>
      <c r="B95">
        <v>84</v>
      </c>
      <c r="C95" t="s">
        <v>1</v>
      </c>
      <c r="D95">
        <v>0</v>
      </c>
      <c r="E95">
        <v>1</v>
      </c>
      <c r="F95">
        <v>1</v>
      </c>
      <c r="G95">
        <v>0</v>
      </c>
      <c r="H95">
        <v>184</v>
      </c>
      <c r="I95">
        <v>114</v>
      </c>
      <c r="J95" t="s">
        <v>8</v>
      </c>
      <c r="K95" t="s">
        <v>6</v>
      </c>
      <c r="L95">
        <v>176</v>
      </c>
      <c r="M95">
        <v>110</v>
      </c>
      <c r="N95">
        <v>0</v>
      </c>
      <c r="O95">
        <v>2</v>
      </c>
      <c r="P95" s="1">
        <v>45581</v>
      </c>
      <c r="Q95" t="str">
        <f>IF(Hypertension_data[[#This Row],[BP_Controlled_After_3_Months]]=1,"Controlled","Not Controlled")</f>
        <v>Not Controlled</v>
      </c>
      <c r="R95">
        <f t="shared" si="3"/>
        <v>8</v>
      </c>
      <c r="S95">
        <f t="shared" si="4"/>
        <v>4</v>
      </c>
      <c r="T95" s="11" t="str">
        <f t="shared" si="5"/>
        <v>70+</v>
      </c>
    </row>
    <row r="96" spans="1:20" x14ac:dyDescent="0.35">
      <c r="A96" t="s">
        <v>105</v>
      </c>
      <c r="B96">
        <v>72</v>
      </c>
      <c r="C96" t="s">
        <v>12</v>
      </c>
      <c r="D96">
        <v>1</v>
      </c>
      <c r="E96">
        <v>1</v>
      </c>
      <c r="F96">
        <v>1</v>
      </c>
      <c r="G96">
        <v>1</v>
      </c>
      <c r="H96">
        <v>187</v>
      </c>
      <c r="I96">
        <v>106</v>
      </c>
      <c r="J96" t="s">
        <v>10</v>
      </c>
      <c r="K96" t="s">
        <v>6</v>
      </c>
      <c r="L96">
        <v>172</v>
      </c>
      <c r="M96">
        <v>97</v>
      </c>
      <c r="N96">
        <v>0</v>
      </c>
      <c r="O96">
        <v>2</v>
      </c>
      <c r="P96" s="1">
        <v>45481</v>
      </c>
      <c r="Q96" t="str">
        <f>IF(Hypertension_data[[#This Row],[BP_Controlled_After_3_Months]]=1,"Controlled","Not Controlled")</f>
        <v>Not Controlled</v>
      </c>
      <c r="R96">
        <f t="shared" si="3"/>
        <v>15</v>
      </c>
      <c r="S96">
        <f t="shared" si="4"/>
        <v>9</v>
      </c>
      <c r="T96" s="11" t="str">
        <f t="shared" si="5"/>
        <v>70+</v>
      </c>
    </row>
    <row r="97" spans="1:20" x14ac:dyDescent="0.35">
      <c r="A97" t="s">
        <v>106</v>
      </c>
      <c r="B97">
        <v>49</v>
      </c>
      <c r="C97" t="s">
        <v>12</v>
      </c>
      <c r="D97">
        <v>1</v>
      </c>
      <c r="E97">
        <v>1</v>
      </c>
      <c r="F97">
        <v>1</v>
      </c>
      <c r="G97">
        <v>1</v>
      </c>
      <c r="H97">
        <v>188</v>
      </c>
      <c r="I97">
        <v>109</v>
      </c>
      <c r="J97" t="s">
        <v>2</v>
      </c>
      <c r="K97" t="s">
        <v>3</v>
      </c>
      <c r="L97">
        <v>181</v>
      </c>
      <c r="M97">
        <v>105</v>
      </c>
      <c r="N97">
        <v>0</v>
      </c>
      <c r="O97">
        <v>6</v>
      </c>
      <c r="P97" s="1">
        <v>45509</v>
      </c>
      <c r="Q97" t="str">
        <f>IF(Hypertension_data[[#This Row],[BP_Controlled_After_3_Months]]=1,"Controlled","Not Controlled")</f>
        <v>Not Controlled</v>
      </c>
      <c r="R97">
        <f t="shared" si="3"/>
        <v>7</v>
      </c>
      <c r="S97">
        <f t="shared" si="4"/>
        <v>4</v>
      </c>
      <c r="T97" s="11" t="str">
        <f t="shared" si="5"/>
        <v>40-49</v>
      </c>
    </row>
    <row r="98" spans="1:20" x14ac:dyDescent="0.35">
      <c r="A98" t="s">
        <v>107</v>
      </c>
      <c r="B98">
        <v>61</v>
      </c>
      <c r="C98" t="s">
        <v>12</v>
      </c>
      <c r="D98">
        <v>0</v>
      </c>
      <c r="E98">
        <v>0</v>
      </c>
      <c r="F98">
        <v>1</v>
      </c>
      <c r="G98">
        <v>1</v>
      </c>
      <c r="H98">
        <v>162</v>
      </c>
      <c r="I98">
        <v>103</v>
      </c>
      <c r="J98" t="s">
        <v>2</v>
      </c>
      <c r="K98" t="s">
        <v>6</v>
      </c>
      <c r="L98">
        <v>146</v>
      </c>
      <c r="M98">
        <v>94</v>
      </c>
      <c r="N98">
        <v>0</v>
      </c>
      <c r="O98">
        <v>3</v>
      </c>
      <c r="P98" s="1">
        <v>45315</v>
      </c>
      <c r="Q98" t="str">
        <f>IF(Hypertension_data[[#This Row],[BP_Controlled_After_3_Months]]=1,"Controlled","Not Controlled")</f>
        <v>Not Controlled</v>
      </c>
      <c r="R98">
        <f t="shared" si="3"/>
        <v>16</v>
      </c>
      <c r="S98">
        <f t="shared" si="4"/>
        <v>9</v>
      </c>
      <c r="T98" s="11" t="str">
        <f t="shared" si="5"/>
        <v>60-69</v>
      </c>
    </row>
    <row r="99" spans="1:20" x14ac:dyDescent="0.35">
      <c r="A99" t="s">
        <v>108</v>
      </c>
      <c r="B99">
        <v>44</v>
      </c>
      <c r="C99" t="s">
        <v>12</v>
      </c>
      <c r="D99">
        <v>1</v>
      </c>
      <c r="E99">
        <v>1</v>
      </c>
      <c r="F99">
        <v>1</v>
      </c>
      <c r="G99">
        <v>0</v>
      </c>
      <c r="H99">
        <v>153</v>
      </c>
      <c r="I99">
        <v>114</v>
      </c>
      <c r="J99" t="s">
        <v>10</v>
      </c>
      <c r="K99" t="s">
        <v>6</v>
      </c>
      <c r="L99">
        <v>140</v>
      </c>
      <c r="M99">
        <v>107</v>
      </c>
      <c r="N99">
        <v>0</v>
      </c>
      <c r="O99">
        <v>1</v>
      </c>
      <c r="P99" s="1">
        <v>45546</v>
      </c>
      <c r="Q99" t="str">
        <f>IF(Hypertension_data[[#This Row],[BP_Controlled_After_3_Months]]=1,"Controlled","Not Controlled")</f>
        <v>Not Controlled</v>
      </c>
      <c r="R99">
        <f t="shared" si="3"/>
        <v>13</v>
      </c>
      <c r="S99">
        <f t="shared" si="4"/>
        <v>7</v>
      </c>
      <c r="T99" s="11" t="str">
        <f t="shared" si="5"/>
        <v>40-49</v>
      </c>
    </row>
    <row r="100" spans="1:20" x14ac:dyDescent="0.35">
      <c r="A100" t="s">
        <v>109</v>
      </c>
      <c r="B100">
        <v>77</v>
      </c>
      <c r="C100" t="s">
        <v>12</v>
      </c>
      <c r="D100">
        <v>1</v>
      </c>
      <c r="E100">
        <v>1</v>
      </c>
      <c r="F100">
        <v>0</v>
      </c>
      <c r="G100">
        <v>1</v>
      </c>
      <c r="H100">
        <v>172</v>
      </c>
      <c r="I100">
        <v>107</v>
      </c>
      <c r="J100" t="s">
        <v>13</v>
      </c>
      <c r="K100" t="s">
        <v>6</v>
      </c>
      <c r="L100">
        <v>150</v>
      </c>
      <c r="M100">
        <v>94</v>
      </c>
      <c r="N100">
        <v>0</v>
      </c>
      <c r="O100">
        <v>1</v>
      </c>
      <c r="P100" s="1">
        <v>45527</v>
      </c>
      <c r="Q100" t="str">
        <f>IF(Hypertension_data[[#This Row],[BP_Controlled_After_3_Months]]=1,"Controlled","Not Controlled")</f>
        <v>Not Controlled</v>
      </c>
      <c r="R100">
        <f t="shared" si="3"/>
        <v>22</v>
      </c>
      <c r="S100">
        <f t="shared" si="4"/>
        <v>13</v>
      </c>
      <c r="T100" s="11" t="str">
        <f t="shared" si="5"/>
        <v>70+</v>
      </c>
    </row>
    <row r="101" spans="1:20" x14ac:dyDescent="0.35">
      <c r="A101" t="s">
        <v>110</v>
      </c>
      <c r="B101">
        <v>34</v>
      </c>
      <c r="C101" t="s">
        <v>12</v>
      </c>
      <c r="D101">
        <v>0</v>
      </c>
      <c r="E101">
        <v>0</v>
      </c>
      <c r="F101">
        <v>0</v>
      </c>
      <c r="G101">
        <v>0</v>
      </c>
      <c r="H101">
        <v>147</v>
      </c>
      <c r="I101">
        <v>102</v>
      </c>
      <c r="J101" t="s">
        <v>2</v>
      </c>
      <c r="K101" t="s">
        <v>6</v>
      </c>
      <c r="L101">
        <v>130</v>
      </c>
      <c r="M101">
        <v>92</v>
      </c>
      <c r="N101">
        <v>0</v>
      </c>
      <c r="O101">
        <v>6</v>
      </c>
      <c r="P101" s="1">
        <v>45477</v>
      </c>
      <c r="Q101" t="str">
        <f>IF(Hypertension_data[[#This Row],[BP_Controlled_After_3_Months]]=1,"Controlled","Not Controlled")</f>
        <v>Not Controlled</v>
      </c>
      <c r="R101">
        <f t="shared" si="3"/>
        <v>17</v>
      </c>
      <c r="S101">
        <f t="shared" si="4"/>
        <v>10</v>
      </c>
      <c r="T101" s="11" t="str">
        <f t="shared" si="5"/>
        <v>30-39</v>
      </c>
    </row>
    <row r="102" spans="1:20" x14ac:dyDescent="0.35">
      <c r="A102" t="s">
        <v>111</v>
      </c>
      <c r="B102">
        <v>35</v>
      </c>
      <c r="C102" t="s">
        <v>12</v>
      </c>
      <c r="D102">
        <v>1</v>
      </c>
      <c r="E102">
        <v>1</v>
      </c>
      <c r="F102">
        <v>0</v>
      </c>
      <c r="G102">
        <v>0</v>
      </c>
      <c r="H102">
        <v>173</v>
      </c>
      <c r="I102">
        <v>92</v>
      </c>
      <c r="J102" t="s">
        <v>19</v>
      </c>
      <c r="K102" t="s">
        <v>6</v>
      </c>
      <c r="L102">
        <v>162</v>
      </c>
      <c r="M102">
        <v>86</v>
      </c>
      <c r="N102">
        <v>0</v>
      </c>
      <c r="O102">
        <v>2</v>
      </c>
      <c r="P102" s="1">
        <v>45331</v>
      </c>
      <c r="Q102" t="str">
        <f>IF(Hypertension_data[[#This Row],[BP_Controlled_After_3_Months]]=1,"Controlled","Not Controlled")</f>
        <v>Not Controlled</v>
      </c>
      <c r="R102">
        <f t="shared" si="3"/>
        <v>11</v>
      </c>
      <c r="S102">
        <f t="shared" si="4"/>
        <v>6</v>
      </c>
      <c r="T102" s="11" t="str">
        <f t="shared" si="5"/>
        <v>30-39</v>
      </c>
    </row>
    <row r="103" spans="1:20" x14ac:dyDescent="0.35">
      <c r="A103" t="s">
        <v>112</v>
      </c>
      <c r="B103">
        <v>62</v>
      </c>
      <c r="C103" t="s">
        <v>1</v>
      </c>
      <c r="D103">
        <v>1</v>
      </c>
      <c r="E103">
        <v>0</v>
      </c>
      <c r="F103">
        <v>0</v>
      </c>
      <c r="G103">
        <v>1</v>
      </c>
      <c r="H103">
        <v>155</v>
      </c>
      <c r="I103">
        <v>93</v>
      </c>
      <c r="J103" t="s">
        <v>10</v>
      </c>
      <c r="K103" t="s">
        <v>6</v>
      </c>
      <c r="L103">
        <v>145</v>
      </c>
      <c r="M103">
        <v>87</v>
      </c>
      <c r="N103">
        <v>0</v>
      </c>
      <c r="O103">
        <v>2</v>
      </c>
      <c r="P103" s="1">
        <v>45627</v>
      </c>
      <c r="Q103" t="str">
        <f>IF(Hypertension_data[[#This Row],[BP_Controlled_After_3_Months]]=1,"Controlled","Not Controlled")</f>
        <v>Not Controlled</v>
      </c>
      <c r="R103">
        <f t="shared" si="3"/>
        <v>10</v>
      </c>
      <c r="S103">
        <f t="shared" si="4"/>
        <v>6</v>
      </c>
      <c r="T103" s="11" t="str">
        <f t="shared" si="5"/>
        <v>60-69</v>
      </c>
    </row>
    <row r="104" spans="1:20" x14ac:dyDescent="0.35">
      <c r="A104" t="s">
        <v>113</v>
      </c>
      <c r="B104">
        <v>34</v>
      </c>
      <c r="C104" t="s">
        <v>1</v>
      </c>
      <c r="D104">
        <v>0</v>
      </c>
      <c r="E104">
        <v>0</v>
      </c>
      <c r="F104">
        <v>0</v>
      </c>
      <c r="G104">
        <v>0</v>
      </c>
      <c r="H104">
        <v>180</v>
      </c>
      <c r="I104">
        <v>100</v>
      </c>
      <c r="J104" t="s">
        <v>10</v>
      </c>
      <c r="K104" t="s">
        <v>6</v>
      </c>
      <c r="L104">
        <v>165</v>
      </c>
      <c r="M104">
        <v>91</v>
      </c>
      <c r="N104">
        <v>0</v>
      </c>
      <c r="O104">
        <v>6</v>
      </c>
      <c r="P104" s="1">
        <v>45447</v>
      </c>
      <c r="Q104" t="str">
        <f>IF(Hypertension_data[[#This Row],[BP_Controlled_After_3_Months]]=1,"Controlled","Not Controlled")</f>
        <v>Not Controlled</v>
      </c>
      <c r="R104">
        <f t="shared" si="3"/>
        <v>15</v>
      </c>
      <c r="S104">
        <f t="shared" si="4"/>
        <v>9</v>
      </c>
      <c r="T104" s="11" t="str">
        <f t="shared" si="5"/>
        <v>30-39</v>
      </c>
    </row>
    <row r="105" spans="1:20" x14ac:dyDescent="0.35">
      <c r="A105" t="s">
        <v>114</v>
      </c>
      <c r="B105">
        <v>80</v>
      </c>
      <c r="C105" t="s">
        <v>12</v>
      </c>
      <c r="D105">
        <v>1</v>
      </c>
      <c r="E105">
        <v>0</v>
      </c>
      <c r="F105">
        <v>1</v>
      </c>
      <c r="G105">
        <v>0</v>
      </c>
      <c r="H105">
        <v>169</v>
      </c>
      <c r="I105">
        <v>104</v>
      </c>
      <c r="J105" t="s">
        <v>2</v>
      </c>
      <c r="K105" t="s">
        <v>15</v>
      </c>
      <c r="L105">
        <v>143</v>
      </c>
      <c r="M105">
        <v>89</v>
      </c>
      <c r="N105">
        <v>0</v>
      </c>
      <c r="O105">
        <v>6</v>
      </c>
      <c r="P105" s="1">
        <v>45338</v>
      </c>
      <c r="Q105" t="str">
        <f>IF(Hypertension_data[[#This Row],[BP_Controlled_After_3_Months]]=1,"Controlled","Not Controlled")</f>
        <v>Not Controlled</v>
      </c>
      <c r="R105">
        <f t="shared" si="3"/>
        <v>26</v>
      </c>
      <c r="S105">
        <f t="shared" si="4"/>
        <v>15</v>
      </c>
      <c r="T105" s="11" t="str">
        <f t="shared" si="5"/>
        <v>70+</v>
      </c>
    </row>
    <row r="106" spans="1:20" x14ac:dyDescent="0.35">
      <c r="A106" t="s">
        <v>115</v>
      </c>
      <c r="B106">
        <v>69</v>
      </c>
      <c r="C106" t="s">
        <v>12</v>
      </c>
      <c r="D106">
        <v>0</v>
      </c>
      <c r="E106">
        <v>1</v>
      </c>
      <c r="F106">
        <v>0</v>
      </c>
      <c r="G106">
        <v>1</v>
      </c>
      <c r="H106">
        <v>160</v>
      </c>
      <c r="I106">
        <v>109</v>
      </c>
      <c r="J106" t="s">
        <v>19</v>
      </c>
      <c r="K106" t="s">
        <v>3</v>
      </c>
      <c r="L106">
        <v>153</v>
      </c>
      <c r="M106">
        <v>105</v>
      </c>
      <c r="N106">
        <v>0</v>
      </c>
      <c r="O106">
        <v>1</v>
      </c>
      <c r="P106" s="1">
        <v>45467</v>
      </c>
      <c r="Q106" t="str">
        <f>IF(Hypertension_data[[#This Row],[BP_Controlled_After_3_Months]]=1,"Controlled","Not Controlled")</f>
        <v>Not Controlled</v>
      </c>
      <c r="R106">
        <f t="shared" si="3"/>
        <v>7</v>
      </c>
      <c r="S106">
        <f t="shared" si="4"/>
        <v>4</v>
      </c>
      <c r="T106" s="11" t="str">
        <f t="shared" si="5"/>
        <v>60-69</v>
      </c>
    </row>
    <row r="107" spans="1:20" x14ac:dyDescent="0.35">
      <c r="A107" t="s">
        <v>116</v>
      </c>
      <c r="B107">
        <v>75</v>
      </c>
      <c r="C107" t="s">
        <v>1</v>
      </c>
      <c r="D107">
        <v>1</v>
      </c>
      <c r="E107">
        <v>1</v>
      </c>
      <c r="F107">
        <v>1</v>
      </c>
      <c r="G107">
        <v>0</v>
      </c>
      <c r="H107">
        <v>168</v>
      </c>
      <c r="I107">
        <v>106</v>
      </c>
      <c r="J107" t="s">
        <v>5</v>
      </c>
      <c r="K107" t="s">
        <v>3</v>
      </c>
      <c r="L107">
        <v>163</v>
      </c>
      <c r="M107">
        <v>103</v>
      </c>
      <c r="N107">
        <v>0</v>
      </c>
      <c r="O107">
        <v>3</v>
      </c>
      <c r="P107" s="1">
        <v>45490</v>
      </c>
      <c r="Q107" t="str">
        <f>IF(Hypertension_data[[#This Row],[BP_Controlled_After_3_Months]]=1,"Controlled","Not Controlled")</f>
        <v>Not Controlled</v>
      </c>
      <c r="R107">
        <f t="shared" si="3"/>
        <v>5</v>
      </c>
      <c r="S107">
        <f t="shared" si="4"/>
        <v>3</v>
      </c>
      <c r="T107" s="11" t="str">
        <f t="shared" si="5"/>
        <v>70+</v>
      </c>
    </row>
    <row r="108" spans="1:20" x14ac:dyDescent="0.35">
      <c r="A108" t="s">
        <v>117</v>
      </c>
      <c r="B108">
        <v>56</v>
      </c>
      <c r="C108" t="s">
        <v>12</v>
      </c>
      <c r="D108">
        <v>1</v>
      </c>
      <c r="E108">
        <v>0</v>
      </c>
      <c r="F108">
        <v>1</v>
      </c>
      <c r="G108">
        <v>0</v>
      </c>
      <c r="H108">
        <v>146</v>
      </c>
      <c r="I108">
        <v>107</v>
      </c>
      <c r="J108" t="s">
        <v>13</v>
      </c>
      <c r="K108" t="s">
        <v>6</v>
      </c>
      <c r="L108">
        <v>125</v>
      </c>
      <c r="M108">
        <v>95</v>
      </c>
      <c r="N108">
        <v>0</v>
      </c>
      <c r="O108">
        <v>2</v>
      </c>
      <c r="P108" s="1">
        <v>45462</v>
      </c>
      <c r="Q108" t="str">
        <f>IF(Hypertension_data[[#This Row],[BP_Controlled_After_3_Months]]=1,"Controlled","Not Controlled")</f>
        <v>Not Controlled</v>
      </c>
      <c r="R108">
        <f t="shared" si="3"/>
        <v>21</v>
      </c>
      <c r="S108">
        <f t="shared" si="4"/>
        <v>12</v>
      </c>
      <c r="T108" s="11" t="str">
        <f t="shared" si="5"/>
        <v>50-59</v>
      </c>
    </row>
    <row r="109" spans="1:20" x14ac:dyDescent="0.35">
      <c r="A109" t="s">
        <v>118</v>
      </c>
      <c r="B109">
        <v>35</v>
      </c>
      <c r="C109" t="s">
        <v>1</v>
      </c>
      <c r="D109">
        <v>0</v>
      </c>
      <c r="E109">
        <v>0</v>
      </c>
      <c r="F109">
        <v>0</v>
      </c>
      <c r="G109">
        <v>1</v>
      </c>
      <c r="H109">
        <v>178</v>
      </c>
      <c r="I109">
        <v>112</v>
      </c>
      <c r="J109" t="s">
        <v>2</v>
      </c>
      <c r="K109" t="s">
        <v>6</v>
      </c>
      <c r="L109">
        <v>160</v>
      </c>
      <c r="M109">
        <v>102</v>
      </c>
      <c r="N109">
        <v>0</v>
      </c>
      <c r="O109">
        <v>2</v>
      </c>
      <c r="P109" s="1">
        <v>45635</v>
      </c>
      <c r="Q109" t="str">
        <f>IF(Hypertension_data[[#This Row],[BP_Controlled_After_3_Months]]=1,"Controlled","Not Controlled")</f>
        <v>Not Controlled</v>
      </c>
      <c r="R109">
        <f t="shared" si="3"/>
        <v>18</v>
      </c>
      <c r="S109">
        <f t="shared" si="4"/>
        <v>10</v>
      </c>
      <c r="T109" s="11" t="str">
        <f t="shared" si="5"/>
        <v>30-39</v>
      </c>
    </row>
    <row r="110" spans="1:20" x14ac:dyDescent="0.35">
      <c r="A110" t="s">
        <v>119</v>
      </c>
      <c r="B110">
        <v>74</v>
      </c>
      <c r="C110" t="s">
        <v>1</v>
      </c>
      <c r="D110">
        <v>0</v>
      </c>
      <c r="E110">
        <v>0</v>
      </c>
      <c r="F110">
        <v>1</v>
      </c>
      <c r="G110">
        <v>0</v>
      </c>
      <c r="H110">
        <v>159</v>
      </c>
      <c r="I110">
        <v>95</v>
      </c>
      <c r="J110" t="s">
        <v>10</v>
      </c>
      <c r="K110" t="s">
        <v>6</v>
      </c>
      <c r="L110">
        <v>148</v>
      </c>
      <c r="M110">
        <v>89</v>
      </c>
      <c r="N110">
        <v>0</v>
      </c>
      <c r="O110">
        <v>2</v>
      </c>
      <c r="P110" s="1">
        <v>45371</v>
      </c>
      <c r="Q110" t="str">
        <f>IF(Hypertension_data[[#This Row],[BP_Controlled_After_3_Months]]=1,"Controlled","Not Controlled")</f>
        <v>Not Controlled</v>
      </c>
      <c r="R110">
        <f t="shared" si="3"/>
        <v>11</v>
      </c>
      <c r="S110">
        <f t="shared" si="4"/>
        <v>6</v>
      </c>
      <c r="T110" s="11" t="str">
        <f t="shared" si="5"/>
        <v>70+</v>
      </c>
    </row>
    <row r="111" spans="1:20" x14ac:dyDescent="0.35">
      <c r="A111" t="s">
        <v>120</v>
      </c>
      <c r="B111">
        <v>34</v>
      </c>
      <c r="C111" t="s">
        <v>12</v>
      </c>
      <c r="D111">
        <v>1</v>
      </c>
      <c r="E111">
        <v>1</v>
      </c>
      <c r="F111">
        <v>0</v>
      </c>
      <c r="G111">
        <v>1</v>
      </c>
      <c r="H111">
        <v>178</v>
      </c>
      <c r="I111">
        <v>102</v>
      </c>
      <c r="J111" t="s">
        <v>10</v>
      </c>
      <c r="K111" t="s">
        <v>15</v>
      </c>
      <c r="L111">
        <v>158</v>
      </c>
      <c r="M111">
        <v>90</v>
      </c>
      <c r="N111">
        <v>0</v>
      </c>
      <c r="O111">
        <v>6</v>
      </c>
      <c r="P111" s="1">
        <v>45516</v>
      </c>
      <c r="Q111" t="str">
        <f>IF(Hypertension_data[[#This Row],[BP_Controlled_After_3_Months]]=1,"Controlled","Not Controlled")</f>
        <v>Not Controlled</v>
      </c>
      <c r="R111">
        <f t="shared" si="3"/>
        <v>20</v>
      </c>
      <c r="S111">
        <f t="shared" si="4"/>
        <v>12</v>
      </c>
      <c r="T111" s="11" t="str">
        <f t="shared" si="5"/>
        <v>30-39</v>
      </c>
    </row>
    <row r="112" spans="1:20" x14ac:dyDescent="0.35">
      <c r="A112" t="s">
        <v>121</v>
      </c>
      <c r="B112">
        <v>32</v>
      </c>
      <c r="C112" t="s">
        <v>12</v>
      </c>
      <c r="D112">
        <v>0</v>
      </c>
      <c r="E112">
        <v>1</v>
      </c>
      <c r="F112">
        <v>0</v>
      </c>
      <c r="G112">
        <v>0</v>
      </c>
      <c r="H112">
        <v>188</v>
      </c>
      <c r="I112">
        <v>113</v>
      </c>
      <c r="J112" t="s">
        <v>19</v>
      </c>
      <c r="K112" t="s">
        <v>15</v>
      </c>
      <c r="L112">
        <v>166</v>
      </c>
      <c r="M112">
        <v>100</v>
      </c>
      <c r="N112">
        <v>0</v>
      </c>
      <c r="O112">
        <v>2</v>
      </c>
      <c r="P112" s="1">
        <v>45480</v>
      </c>
      <c r="Q112" t="str">
        <f>IF(Hypertension_data[[#This Row],[BP_Controlled_After_3_Months]]=1,"Controlled","Not Controlled")</f>
        <v>Not Controlled</v>
      </c>
      <c r="R112">
        <f t="shared" si="3"/>
        <v>22</v>
      </c>
      <c r="S112">
        <f t="shared" si="4"/>
        <v>13</v>
      </c>
      <c r="T112" s="11" t="str">
        <f t="shared" si="5"/>
        <v>30-39</v>
      </c>
    </row>
    <row r="113" spans="1:20" x14ac:dyDescent="0.35">
      <c r="A113" t="s">
        <v>122</v>
      </c>
      <c r="B113">
        <v>73</v>
      </c>
      <c r="C113" t="s">
        <v>12</v>
      </c>
      <c r="D113">
        <v>0</v>
      </c>
      <c r="E113">
        <v>0</v>
      </c>
      <c r="F113">
        <v>0</v>
      </c>
      <c r="G113">
        <v>0</v>
      </c>
      <c r="H113">
        <v>150</v>
      </c>
      <c r="I113">
        <v>116</v>
      </c>
      <c r="J113" t="s">
        <v>10</v>
      </c>
      <c r="K113" t="s">
        <v>3</v>
      </c>
      <c r="L113">
        <v>150</v>
      </c>
      <c r="M113">
        <v>116</v>
      </c>
      <c r="N113">
        <v>0</v>
      </c>
      <c r="O113">
        <v>6</v>
      </c>
      <c r="P113" s="1">
        <v>45538</v>
      </c>
      <c r="Q113" t="str">
        <f>IF(Hypertension_data[[#This Row],[BP_Controlled_After_3_Months]]=1,"Controlled","Not Controlled")</f>
        <v>Not Controlled</v>
      </c>
      <c r="R113">
        <f t="shared" si="3"/>
        <v>0</v>
      </c>
      <c r="S113">
        <f t="shared" si="4"/>
        <v>0</v>
      </c>
      <c r="T113" s="11" t="str">
        <f t="shared" si="5"/>
        <v>70+</v>
      </c>
    </row>
    <row r="114" spans="1:20" x14ac:dyDescent="0.35">
      <c r="A114" t="s">
        <v>123</v>
      </c>
      <c r="B114">
        <v>85</v>
      </c>
      <c r="C114" t="s">
        <v>12</v>
      </c>
      <c r="D114">
        <v>1</v>
      </c>
      <c r="E114">
        <v>1</v>
      </c>
      <c r="F114">
        <v>0</v>
      </c>
      <c r="G114">
        <v>1</v>
      </c>
      <c r="H114">
        <v>188</v>
      </c>
      <c r="I114">
        <v>95</v>
      </c>
      <c r="J114" t="s">
        <v>8</v>
      </c>
      <c r="K114" t="s">
        <v>6</v>
      </c>
      <c r="L114">
        <v>174</v>
      </c>
      <c r="M114">
        <v>87</v>
      </c>
      <c r="N114">
        <v>0</v>
      </c>
      <c r="O114">
        <v>2</v>
      </c>
      <c r="P114" s="1">
        <v>45522</v>
      </c>
      <c r="Q114" t="str">
        <f>IF(Hypertension_data[[#This Row],[BP_Controlled_After_3_Months]]=1,"Controlled","Not Controlled")</f>
        <v>Not Controlled</v>
      </c>
      <c r="R114">
        <f t="shared" si="3"/>
        <v>14</v>
      </c>
      <c r="S114">
        <f t="shared" si="4"/>
        <v>8</v>
      </c>
      <c r="T114" s="11" t="str">
        <f t="shared" si="5"/>
        <v>70+</v>
      </c>
    </row>
    <row r="115" spans="1:20" x14ac:dyDescent="0.35">
      <c r="A115" t="s">
        <v>124</v>
      </c>
      <c r="B115">
        <v>52</v>
      </c>
      <c r="C115" t="s">
        <v>1</v>
      </c>
      <c r="D115">
        <v>0</v>
      </c>
      <c r="E115">
        <v>1</v>
      </c>
      <c r="F115">
        <v>0</v>
      </c>
      <c r="G115">
        <v>0</v>
      </c>
      <c r="H115">
        <v>155</v>
      </c>
      <c r="I115">
        <v>102</v>
      </c>
      <c r="J115" t="s">
        <v>2</v>
      </c>
      <c r="K115" t="s">
        <v>6</v>
      </c>
      <c r="L115">
        <v>147</v>
      </c>
      <c r="M115">
        <v>98</v>
      </c>
      <c r="N115">
        <v>0</v>
      </c>
      <c r="O115">
        <v>1</v>
      </c>
      <c r="P115" s="1">
        <v>45657</v>
      </c>
      <c r="Q115" t="str">
        <f>IF(Hypertension_data[[#This Row],[BP_Controlled_After_3_Months]]=1,"Controlled","Not Controlled")</f>
        <v>Not Controlled</v>
      </c>
      <c r="R115">
        <f t="shared" si="3"/>
        <v>8</v>
      </c>
      <c r="S115">
        <f t="shared" si="4"/>
        <v>4</v>
      </c>
      <c r="T115" s="11" t="str">
        <f t="shared" si="5"/>
        <v>50-59</v>
      </c>
    </row>
    <row r="116" spans="1:20" x14ac:dyDescent="0.35">
      <c r="A116" t="s">
        <v>125</v>
      </c>
      <c r="B116">
        <v>71</v>
      </c>
      <c r="C116" t="s">
        <v>12</v>
      </c>
      <c r="D116">
        <v>1</v>
      </c>
      <c r="E116">
        <v>1</v>
      </c>
      <c r="F116">
        <v>1</v>
      </c>
      <c r="G116">
        <v>0</v>
      </c>
      <c r="H116">
        <v>170</v>
      </c>
      <c r="I116">
        <v>112</v>
      </c>
      <c r="J116" t="s">
        <v>10</v>
      </c>
      <c r="K116" t="s">
        <v>3</v>
      </c>
      <c r="L116">
        <v>161</v>
      </c>
      <c r="M116">
        <v>107</v>
      </c>
      <c r="N116">
        <v>0</v>
      </c>
      <c r="O116">
        <v>1</v>
      </c>
      <c r="P116" s="1">
        <v>45332</v>
      </c>
      <c r="Q116" t="str">
        <f>IF(Hypertension_data[[#This Row],[BP_Controlled_After_3_Months]]=1,"Controlled","Not Controlled")</f>
        <v>Not Controlled</v>
      </c>
      <c r="R116">
        <f t="shared" si="3"/>
        <v>9</v>
      </c>
      <c r="S116">
        <f t="shared" si="4"/>
        <v>5</v>
      </c>
      <c r="T116" s="11" t="str">
        <f t="shared" si="5"/>
        <v>70+</v>
      </c>
    </row>
    <row r="117" spans="1:20" x14ac:dyDescent="0.35">
      <c r="A117" t="s">
        <v>126</v>
      </c>
      <c r="B117">
        <v>31</v>
      </c>
      <c r="C117" t="s">
        <v>12</v>
      </c>
      <c r="D117">
        <v>1</v>
      </c>
      <c r="E117">
        <v>1</v>
      </c>
      <c r="F117">
        <v>0</v>
      </c>
      <c r="G117">
        <v>1</v>
      </c>
      <c r="H117">
        <v>189</v>
      </c>
      <c r="I117">
        <v>99</v>
      </c>
      <c r="J117" t="s">
        <v>10</v>
      </c>
      <c r="K117" t="s">
        <v>6</v>
      </c>
      <c r="L117">
        <v>181</v>
      </c>
      <c r="M117">
        <v>95</v>
      </c>
      <c r="N117">
        <v>0</v>
      </c>
      <c r="O117">
        <v>4</v>
      </c>
      <c r="P117" s="1">
        <v>45619</v>
      </c>
      <c r="Q117" t="str">
        <f>IF(Hypertension_data[[#This Row],[BP_Controlled_After_3_Months]]=1,"Controlled","Not Controlled")</f>
        <v>Not Controlled</v>
      </c>
      <c r="R117">
        <f t="shared" si="3"/>
        <v>8</v>
      </c>
      <c r="S117">
        <f t="shared" si="4"/>
        <v>4</v>
      </c>
      <c r="T117" s="11" t="str">
        <f t="shared" si="5"/>
        <v>30-39</v>
      </c>
    </row>
    <row r="118" spans="1:20" x14ac:dyDescent="0.35">
      <c r="A118" t="s">
        <v>127</v>
      </c>
      <c r="B118">
        <v>80</v>
      </c>
      <c r="C118" t="s">
        <v>12</v>
      </c>
      <c r="D118">
        <v>1</v>
      </c>
      <c r="E118">
        <v>1</v>
      </c>
      <c r="F118">
        <v>0</v>
      </c>
      <c r="G118">
        <v>1</v>
      </c>
      <c r="H118">
        <v>180</v>
      </c>
      <c r="I118">
        <v>106</v>
      </c>
      <c r="J118" t="s">
        <v>5</v>
      </c>
      <c r="K118" t="s">
        <v>15</v>
      </c>
      <c r="L118">
        <v>161</v>
      </c>
      <c r="M118">
        <v>95</v>
      </c>
      <c r="N118">
        <v>0</v>
      </c>
      <c r="O118">
        <v>1</v>
      </c>
      <c r="P118" s="1">
        <v>45606</v>
      </c>
      <c r="Q118" t="str">
        <f>IF(Hypertension_data[[#This Row],[BP_Controlled_After_3_Months]]=1,"Controlled","Not Controlled")</f>
        <v>Not Controlled</v>
      </c>
      <c r="R118">
        <f t="shared" si="3"/>
        <v>19</v>
      </c>
      <c r="S118">
        <f t="shared" si="4"/>
        <v>11</v>
      </c>
      <c r="T118" s="11" t="str">
        <f t="shared" si="5"/>
        <v>70+</v>
      </c>
    </row>
    <row r="119" spans="1:20" x14ac:dyDescent="0.35">
      <c r="A119" t="s">
        <v>128</v>
      </c>
      <c r="B119">
        <v>52</v>
      </c>
      <c r="C119" t="s">
        <v>1</v>
      </c>
      <c r="D119">
        <v>0</v>
      </c>
      <c r="E119">
        <v>1</v>
      </c>
      <c r="F119">
        <v>1</v>
      </c>
      <c r="G119">
        <v>0</v>
      </c>
      <c r="H119">
        <v>144</v>
      </c>
      <c r="I119">
        <v>120</v>
      </c>
      <c r="J119" t="s">
        <v>5</v>
      </c>
      <c r="K119" t="s">
        <v>3</v>
      </c>
      <c r="L119">
        <v>137</v>
      </c>
      <c r="M119">
        <v>116</v>
      </c>
      <c r="N119">
        <v>0</v>
      </c>
      <c r="O119">
        <v>1</v>
      </c>
      <c r="P119" s="1">
        <v>45617</v>
      </c>
      <c r="Q119" t="str">
        <f>IF(Hypertension_data[[#This Row],[BP_Controlled_After_3_Months]]=1,"Controlled","Not Controlled")</f>
        <v>Not Controlled</v>
      </c>
      <c r="R119">
        <f t="shared" si="3"/>
        <v>7</v>
      </c>
      <c r="S119">
        <f t="shared" si="4"/>
        <v>4</v>
      </c>
      <c r="T119" s="11" t="str">
        <f t="shared" si="5"/>
        <v>50-59</v>
      </c>
    </row>
    <row r="120" spans="1:20" x14ac:dyDescent="0.35">
      <c r="A120" t="s">
        <v>129</v>
      </c>
      <c r="B120">
        <v>54</v>
      </c>
      <c r="C120" t="s">
        <v>12</v>
      </c>
      <c r="D120">
        <v>0</v>
      </c>
      <c r="E120">
        <v>1</v>
      </c>
      <c r="F120">
        <v>0</v>
      </c>
      <c r="G120">
        <v>1</v>
      </c>
      <c r="H120">
        <v>162</v>
      </c>
      <c r="I120">
        <v>97</v>
      </c>
      <c r="J120" t="s">
        <v>13</v>
      </c>
      <c r="K120" t="s">
        <v>3</v>
      </c>
      <c r="L120">
        <v>151</v>
      </c>
      <c r="M120">
        <v>91</v>
      </c>
      <c r="N120">
        <v>0</v>
      </c>
      <c r="O120">
        <v>1</v>
      </c>
      <c r="P120" s="1">
        <v>45472</v>
      </c>
      <c r="Q120" t="str">
        <f>IF(Hypertension_data[[#This Row],[BP_Controlled_After_3_Months]]=1,"Controlled","Not Controlled")</f>
        <v>Not Controlled</v>
      </c>
      <c r="R120">
        <f t="shared" si="3"/>
        <v>11</v>
      </c>
      <c r="S120">
        <f t="shared" si="4"/>
        <v>6</v>
      </c>
      <c r="T120" s="11" t="str">
        <f t="shared" si="5"/>
        <v>50-59</v>
      </c>
    </row>
    <row r="121" spans="1:20" x14ac:dyDescent="0.35">
      <c r="A121" t="s">
        <v>130</v>
      </c>
      <c r="B121">
        <v>64</v>
      </c>
      <c r="C121" t="s">
        <v>12</v>
      </c>
      <c r="D121">
        <v>1</v>
      </c>
      <c r="E121">
        <v>0</v>
      </c>
      <c r="F121">
        <v>0</v>
      </c>
      <c r="G121">
        <v>1</v>
      </c>
      <c r="H121">
        <v>148</v>
      </c>
      <c r="I121">
        <v>92</v>
      </c>
      <c r="J121" t="s">
        <v>13</v>
      </c>
      <c r="K121" t="s">
        <v>6</v>
      </c>
      <c r="L121">
        <v>131</v>
      </c>
      <c r="M121">
        <v>82</v>
      </c>
      <c r="N121">
        <v>1</v>
      </c>
      <c r="O121">
        <v>2</v>
      </c>
      <c r="P121" s="1">
        <v>45313</v>
      </c>
      <c r="Q121" t="str">
        <f>IF(Hypertension_data[[#This Row],[BP_Controlled_After_3_Months]]=1,"Controlled","Not Controlled")</f>
        <v>Controlled</v>
      </c>
      <c r="R121">
        <f t="shared" si="3"/>
        <v>17</v>
      </c>
      <c r="S121">
        <f t="shared" si="4"/>
        <v>10</v>
      </c>
      <c r="T121" s="11" t="str">
        <f t="shared" si="5"/>
        <v>60-69</v>
      </c>
    </row>
    <row r="122" spans="1:20" x14ac:dyDescent="0.35">
      <c r="A122" t="s">
        <v>131</v>
      </c>
      <c r="B122">
        <v>50</v>
      </c>
      <c r="C122" t="s">
        <v>12</v>
      </c>
      <c r="D122">
        <v>0</v>
      </c>
      <c r="E122">
        <v>0</v>
      </c>
      <c r="F122">
        <v>0</v>
      </c>
      <c r="G122">
        <v>1</v>
      </c>
      <c r="H122">
        <v>188</v>
      </c>
      <c r="I122">
        <v>110</v>
      </c>
      <c r="J122" t="s">
        <v>10</v>
      </c>
      <c r="K122" t="s">
        <v>6</v>
      </c>
      <c r="L122">
        <v>180</v>
      </c>
      <c r="M122">
        <v>106</v>
      </c>
      <c r="N122">
        <v>0</v>
      </c>
      <c r="O122">
        <v>3</v>
      </c>
      <c r="P122" s="1">
        <v>45431</v>
      </c>
      <c r="Q122" t="str">
        <f>IF(Hypertension_data[[#This Row],[BP_Controlled_After_3_Months]]=1,"Controlled","Not Controlled")</f>
        <v>Not Controlled</v>
      </c>
      <c r="R122">
        <f t="shared" si="3"/>
        <v>8</v>
      </c>
      <c r="S122">
        <f t="shared" si="4"/>
        <v>4</v>
      </c>
      <c r="T122" s="11" t="str">
        <f t="shared" si="5"/>
        <v>50-59</v>
      </c>
    </row>
    <row r="123" spans="1:20" x14ac:dyDescent="0.35">
      <c r="A123" t="s">
        <v>132</v>
      </c>
      <c r="B123">
        <v>37</v>
      </c>
      <c r="C123" t="s">
        <v>12</v>
      </c>
      <c r="D123">
        <v>0</v>
      </c>
      <c r="E123">
        <v>0</v>
      </c>
      <c r="F123">
        <v>0</v>
      </c>
      <c r="G123">
        <v>0</v>
      </c>
      <c r="H123">
        <v>161</v>
      </c>
      <c r="I123">
        <v>95</v>
      </c>
      <c r="J123" t="s">
        <v>19</v>
      </c>
      <c r="K123" t="s">
        <v>3</v>
      </c>
      <c r="L123">
        <v>153</v>
      </c>
      <c r="M123">
        <v>91</v>
      </c>
      <c r="N123">
        <v>0</v>
      </c>
      <c r="O123">
        <v>3</v>
      </c>
      <c r="P123" s="1">
        <v>45334</v>
      </c>
      <c r="Q123" t="str">
        <f>IF(Hypertension_data[[#This Row],[BP_Controlled_After_3_Months]]=1,"Controlled","Not Controlled")</f>
        <v>Not Controlled</v>
      </c>
      <c r="R123">
        <f t="shared" si="3"/>
        <v>8</v>
      </c>
      <c r="S123">
        <f t="shared" si="4"/>
        <v>4</v>
      </c>
      <c r="T123" s="11" t="str">
        <f t="shared" si="5"/>
        <v>30-39</v>
      </c>
    </row>
    <row r="124" spans="1:20" x14ac:dyDescent="0.35">
      <c r="A124" t="s">
        <v>133</v>
      </c>
      <c r="B124">
        <v>76</v>
      </c>
      <c r="C124" t="s">
        <v>12</v>
      </c>
      <c r="D124">
        <v>1</v>
      </c>
      <c r="E124">
        <v>0</v>
      </c>
      <c r="F124">
        <v>1</v>
      </c>
      <c r="G124">
        <v>0</v>
      </c>
      <c r="H124">
        <v>160</v>
      </c>
      <c r="I124">
        <v>93</v>
      </c>
      <c r="J124" t="s">
        <v>2</v>
      </c>
      <c r="K124" t="s">
        <v>6</v>
      </c>
      <c r="L124">
        <v>148</v>
      </c>
      <c r="M124">
        <v>86</v>
      </c>
      <c r="N124">
        <v>0</v>
      </c>
      <c r="O124">
        <v>5</v>
      </c>
      <c r="P124" s="1">
        <v>45510</v>
      </c>
      <c r="Q124" t="str">
        <f>IF(Hypertension_data[[#This Row],[BP_Controlled_After_3_Months]]=1,"Controlled","Not Controlled")</f>
        <v>Not Controlled</v>
      </c>
      <c r="R124">
        <f t="shared" si="3"/>
        <v>12</v>
      </c>
      <c r="S124">
        <f t="shared" si="4"/>
        <v>7</v>
      </c>
      <c r="T124" s="11" t="str">
        <f t="shared" si="5"/>
        <v>70+</v>
      </c>
    </row>
    <row r="125" spans="1:20" x14ac:dyDescent="0.35">
      <c r="A125" t="s">
        <v>134</v>
      </c>
      <c r="B125">
        <v>40</v>
      </c>
      <c r="C125" t="s">
        <v>12</v>
      </c>
      <c r="D125">
        <v>0</v>
      </c>
      <c r="E125">
        <v>0</v>
      </c>
      <c r="F125">
        <v>1</v>
      </c>
      <c r="G125">
        <v>0</v>
      </c>
      <c r="H125">
        <v>179</v>
      </c>
      <c r="I125">
        <v>103</v>
      </c>
      <c r="J125" t="s">
        <v>8</v>
      </c>
      <c r="K125" t="s">
        <v>3</v>
      </c>
      <c r="L125">
        <v>169</v>
      </c>
      <c r="M125">
        <v>97</v>
      </c>
      <c r="N125">
        <v>0</v>
      </c>
      <c r="O125">
        <v>6</v>
      </c>
      <c r="P125" s="1">
        <v>45499</v>
      </c>
      <c r="Q125" t="str">
        <f>IF(Hypertension_data[[#This Row],[BP_Controlled_After_3_Months]]=1,"Controlled","Not Controlled")</f>
        <v>Not Controlled</v>
      </c>
      <c r="R125">
        <f t="shared" si="3"/>
        <v>10</v>
      </c>
      <c r="S125">
        <f t="shared" si="4"/>
        <v>6</v>
      </c>
      <c r="T125" s="11" t="str">
        <f t="shared" si="5"/>
        <v>40-49</v>
      </c>
    </row>
    <row r="126" spans="1:20" x14ac:dyDescent="0.35">
      <c r="A126" t="s">
        <v>135</v>
      </c>
      <c r="B126">
        <v>53</v>
      </c>
      <c r="C126" t="s">
        <v>1</v>
      </c>
      <c r="D126">
        <v>1</v>
      </c>
      <c r="E126">
        <v>1</v>
      </c>
      <c r="F126">
        <v>0</v>
      </c>
      <c r="G126">
        <v>1</v>
      </c>
      <c r="H126">
        <v>148</v>
      </c>
      <c r="I126">
        <v>92</v>
      </c>
      <c r="J126" t="s">
        <v>10</v>
      </c>
      <c r="K126" t="s">
        <v>3</v>
      </c>
      <c r="L126">
        <v>142</v>
      </c>
      <c r="M126">
        <v>89</v>
      </c>
      <c r="N126">
        <v>0</v>
      </c>
      <c r="O126">
        <v>5</v>
      </c>
      <c r="P126" s="1">
        <v>45308</v>
      </c>
      <c r="Q126" t="str">
        <f>IF(Hypertension_data[[#This Row],[BP_Controlled_After_3_Months]]=1,"Controlled","Not Controlled")</f>
        <v>Not Controlled</v>
      </c>
      <c r="R126">
        <f t="shared" si="3"/>
        <v>6</v>
      </c>
      <c r="S126">
        <f t="shared" si="4"/>
        <v>3</v>
      </c>
      <c r="T126" s="11" t="str">
        <f t="shared" si="5"/>
        <v>50-59</v>
      </c>
    </row>
    <row r="127" spans="1:20" x14ac:dyDescent="0.35">
      <c r="A127" t="s">
        <v>136</v>
      </c>
      <c r="B127">
        <v>68</v>
      </c>
      <c r="C127" t="s">
        <v>1</v>
      </c>
      <c r="D127">
        <v>0</v>
      </c>
      <c r="E127">
        <v>0</v>
      </c>
      <c r="F127">
        <v>0</v>
      </c>
      <c r="G127">
        <v>0</v>
      </c>
      <c r="H127">
        <v>188</v>
      </c>
      <c r="I127">
        <v>92</v>
      </c>
      <c r="J127" t="s">
        <v>5</v>
      </c>
      <c r="K127" t="s">
        <v>15</v>
      </c>
      <c r="L127">
        <v>162</v>
      </c>
      <c r="M127">
        <v>77</v>
      </c>
      <c r="N127">
        <v>0</v>
      </c>
      <c r="O127">
        <v>6</v>
      </c>
      <c r="P127" s="1">
        <v>45434</v>
      </c>
      <c r="Q127" t="str">
        <f>IF(Hypertension_data[[#This Row],[BP_Controlled_After_3_Months]]=1,"Controlled","Not Controlled")</f>
        <v>Not Controlled</v>
      </c>
      <c r="R127">
        <f t="shared" si="3"/>
        <v>26</v>
      </c>
      <c r="S127">
        <f t="shared" si="4"/>
        <v>15</v>
      </c>
      <c r="T127" s="11" t="str">
        <f t="shared" si="5"/>
        <v>60-69</v>
      </c>
    </row>
    <row r="128" spans="1:20" x14ac:dyDescent="0.35">
      <c r="A128" t="s">
        <v>137</v>
      </c>
      <c r="B128">
        <v>45</v>
      </c>
      <c r="C128" t="s">
        <v>1</v>
      </c>
      <c r="D128">
        <v>1</v>
      </c>
      <c r="E128">
        <v>1</v>
      </c>
      <c r="F128">
        <v>0</v>
      </c>
      <c r="G128">
        <v>0</v>
      </c>
      <c r="H128">
        <v>175</v>
      </c>
      <c r="I128">
        <v>93</v>
      </c>
      <c r="J128" t="s">
        <v>8</v>
      </c>
      <c r="K128" t="s">
        <v>6</v>
      </c>
      <c r="L128">
        <v>164</v>
      </c>
      <c r="M128">
        <v>87</v>
      </c>
      <c r="N128">
        <v>0</v>
      </c>
      <c r="O128">
        <v>3</v>
      </c>
      <c r="P128" s="1">
        <v>45647</v>
      </c>
      <c r="Q128" t="str">
        <f>IF(Hypertension_data[[#This Row],[BP_Controlled_After_3_Months]]=1,"Controlled","Not Controlled")</f>
        <v>Not Controlled</v>
      </c>
      <c r="R128">
        <f t="shared" si="3"/>
        <v>11</v>
      </c>
      <c r="S128">
        <f t="shared" si="4"/>
        <v>6</v>
      </c>
      <c r="T128" s="11" t="str">
        <f t="shared" si="5"/>
        <v>40-49</v>
      </c>
    </row>
    <row r="129" spans="1:20" x14ac:dyDescent="0.35">
      <c r="A129" t="s">
        <v>138</v>
      </c>
      <c r="B129">
        <v>61</v>
      </c>
      <c r="C129" t="s">
        <v>1</v>
      </c>
      <c r="D129">
        <v>1</v>
      </c>
      <c r="E129">
        <v>1</v>
      </c>
      <c r="F129">
        <v>1</v>
      </c>
      <c r="G129">
        <v>0</v>
      </c>
      <c r="H129">
        <v>151</v>
      </c>
      <c r="I129">
        <v>118</v>
      </c>
      <c r="J129" t="s">
        <v>13</v>
      </c>
      <c r="K129" t="s">
        <v>6</v>
      </c>
      <c r="L129">
        <v>123</v>
      </c>
      <c r="M129">
        <v>102</v>
      </c>
      <c r="N129">
        <v>0</v>
      </c>
      <c r="O129">
        <v>3</v>
      </c>
      <c r="P129" s="1">
        <v>45655</v>
      </c>
      <c r="Q129" t="str">
        <f>IF(Hypertension_data[[#This Row],[BP_Controlled_After_3_Months]]=1,"Controlled","Not Controlled")</f>
        <v>Not Controlled</v>
      </c>
      <c r="R129">
        <f t="shared" si="3"/>
        <v>28</v>
      </c>
      <c r="S129">
        <f t="shared" si="4"/>
        <v>16</v>
      </c>
      <c r="T129" s="11" t="str">
        <f t="shared" si="5"/>
        <v>60-69</v>
      </c>
    </row>
    <row r="130" spans="1:20" x14ac:dyDescent="0.35">
      <c r="A130" t="s">
        <v>139</v>
      </c>
      <c r="B130">
        <v>34</v>
      </c>
      <c r="C130" t="s">
        <v>12</v>
      </c>
      <c r="D130">
        <v>0</v>
      </c>
      <c r="E130">
        <v>1</v>
      </c>
      <c r="F130">
        <v>1</v>
      </c>
      <c r="G130">
        <v>0</v>
      </c>
      <c r="H130">
        <v>172</v>
      </c>
      <c r="I130">
        <v>97</v>
      </c>
      <c r="J130" t="s">
        <v>2</v>
      </c>
      <c r="K130" t="s">
        <v>15</v>
      </c>
      <c r="L130">
        <v>153</v>
      </c>
      <c r="M130">
        <v>86</v>
      </c>
      <c r="N130">
        <v>0</v>
      </c>
      <c r="O130">
        <v>1</v>
      </c>
      <c r="P130" s="1">
        <v>45476</v>
      </c>
      <c r="Q130" t="str">
        <f>IF(Hypertension_data[[#This Row],[BP_Controlled_After_3_Months]]=1,"Controlled","Not Controlled")</f>
        <v>Not Controlled</v>
      </c>
      <c r="R130">
        <f t="shared" ref="R130:R193" si="6">H130-L130</f>
        <v>19</v>
      </c>
      <c r="S130">
        <f t="shared" ref="S130:S193" si="7">I130-M130</f>
        <v>11</v>
      </c>
      <c r="T130" s="11" t="str">
        <f t="shared" ref="T130:T193" si="8">IF(B130&lt;40,"30-39",
IF(B130&lt;50,"40-49",
IF(B130&lt;60,"50-59",
IF(B130&lt;70,"60-69",
"70+"))))</f>
        <v>30-39</v>
      </c>
    </row>
    <row r="131" spans="1:20" x14ac:dyDescent="0.35">
      <c r="A131" t="s">
        <v>140</v>
      </c>
      <c r="B131">
        <v>65</v>
      </c>
      <c r="C131" t="s">
        <v>12</v>
      </c>
      <c r="D131">
        <v>0</v>
      </c>
      <c r="E131">
        <v>1</v>
      </c>
      <c r="F131">
        <v>1</v>
      </c>
      <c r="G131">
        <v>1</v>
      </c>
      <c r="H131">
        <v>159</v>
      </c>
      <c r="I131">
        <v>102</v>
      </c>
      <c r="J131" t="s">
        <v>13</v>
      </c>
      <c r="K131" t="s">
        <v>3</v>
      </c>
      <c r="L131">
        <v>145</v>
      </c>
      <c r="M131">
        <v>94</v>
      </c>
      <c r="N131">
        <v>0</v>
      </c>
      <c r="O131">
        <v>5</v>
      </c>
      <c r="P131" s="1">
        <v>45329</v>
      </c>
      <c r="Q131" t="str">
        <f>IF(Hypertension_data[[#This Row],[BP_Controlled_After_3_Months]]=1,"Controlled","Not Controlled")</f>
        <v>Not Controlled</v>
      </c>
      <c r="R131">
        <f t="shared" si="6"/>
        <v>14</v>
      </c>
      <c r="S131">
        <f t="shared" si="7"/>
        <v>8</v>
      </c>
      <c r="T131" s="11" t="str">
        <f t="shared" si="8"/>
        <v>60-69</v>
      </c>
    </row>
    <row r="132" spans="1:20" x14ac:dyDescent="0.35">
      <c r="A132" t="s">
        <v>141</v>
      </c>
      <c r="B132">
        <v>38</v>
      </c>
      <c r="C132" t="s">
        <v>12</v>
      </c>
      <c r="D132">
        <v>1</v>
      </c>
      <c r="E132">
        <v>0</v>
      </c>
      <c r="F132">
        <v>0</v>
      </c>
      <c r="G132">
        <v>0</v>
      </c>
      <c r="H132">
        <v>148</v>
      </c>
      <c r="I132">
        <v>118</v>
      </c>
      <c r="J132" t="s">
        <v>5</v>
      </c>
      <c r="K132" t="s">
        <v>3</v>
      </c>
      <c r="L132">
        <v>142</v>
      </c>
      <c r="M132">
        <v>115</v>
      </c>
      <c r="N132">
        <v>0</v>
      </c>
      <c r="O132">
        <v>5</v>
      </c>
      <c r="P132" s="1">
        <v>45320</v>
      </c>
      <c r="Q132" t="str">
        <f>IF(Hypertension_data[[#This Row],[BP_Controlled_After_3_Months]]=1,"Controlled","Not Controlled")</f>
        <v>Not Controlled</v>
      </c>
      <c r="R132">
        <f t="shared" si="6"/>
        <v>6</v>
      </c>
      <c r="S132">
        <f t="shared" si="7"/>
        <v>3</v>
      </c>
      <c r="T132" s="11" t="str">
        <f t="shared" si="8"/>
        <v>30-39</v>
      </c>
    </row>
    <row r="133" spans="1:20" x14ac:dyDescent="0.35">
      <c r="A133" t="s">
        <v>142</v>
      </c>
      <c r="B133">
        <v>83</v>
      </c>
      <c r="C133" t="s">
        <v>1</v>
      </c>
      <c r="D133">
        <v>1</v>
      </c>
      <c r="E133">
        <v>0</v>
      </c>
      <c r="F133">
        <v>1</v>
      </c>
      <c r="G133">
        <v>1</v>
      </c>
      <c r="H133">
        <v>160</v>
      </c>
      <c r="I133">
        <v>119</v>
      </c>
      <c r="J133" t="s">
        <v>13</v>
      </c>
      <c r="K133" t="s">
        <v>15</v>
      </c>
      <c r="L133">
        <v>129</v>
      </c>
      <c r="M133">
        <v>101</v>
      </c>
      <c r="N133">
        <v>0</v>
      </c>
      <c r="O133">
        <v>3</v>
      </c>
      <c r="P133" s="1">
        <v>45392</v>
      </c>
      <c r="Q133" t="str">
        <f>IF(Hypertension_data[[#This Row],[BP_Controlled_After_3_Months]]=1,"Controlled","Not Controlled")</f>
        <v>Not Controlled</v>
      </c>
      <c r="R133">
        <f t="shared" si="6"/>
        <v>31</v>
      </c>
      <c r="S133">
        <f t="shared" si="7"/>
        <v>18</v>
      </c>
      <c r="T133" s="11" t="str">
        <f t="shared" si="8"/>
        <v>70+</v>
      </c>
    </row>
    <row r="134" spans="1:20" x14ac:dyDescent="0.35">
      <c r="A134" t="s">
        <v>143</v>
      </c>
      <c r="B134">
        <v>70</v>
      </c>
      <c r="C134" t="s">
        <v>12</v>
      </c>
      <c r="D134">
        <v>1</v>
      </c>
      <c r="E134">
        <v>0</v>
      </c>
      <c r="F134">
        <v>1</v>
      </c>
      <c r="G134">
        <v>1</v>
      </c>
      <c r="H134">
        <v>177</v>
      </c>
      <c r="I134">
        <v>120</v>
      </c>
      <c r="J134" t="s">
        <v>5</v>
      </c>
      <c r="K134" t="s">
        <v>15</v>
      </c>
      <c r="L134">
        <v>157</v>
      </c>
      <c r="M134">
        <v>108</v>
      </c>
      <c r="N134">
        <v>0</v>
      </c>
      <c r="O134">
        <v>6</v>
      </c>
      <c r="P134" s="1">
        <v>45601</v>
      </c>
      <c r="Q134" t="str">
        <f>IF(Hypertension_data[[#This Row],[BP_Controlled_After_3_Months]]=1,"Controlled","Not Controlled")</f>
        <v>Not Controlled</v>
      </c>
      <c r="R134">
        <f t="shared" si="6"/>
        <v>20</v>
      </c>
      <c r="S134">
        <f t="shared" si="7"/>
        <v>12</v>
      </c>
      <c r="T134" s="11" t="str">
        <f t="shared" si="8"/>
        <v>70+</v>
      </c>
    </row>
    <row r="135" spans="1:20" x14ac:dyDescent="0.35">
      <c r="A135" t="s">
        <v>144</v>
      </c>
      <c r="B135">
        <v>51</v>
      </c>
      <c r="C135" t="s">
        <v>1</v>
      </c>
      <c r="D135">
        <v>1</v>
      </c>
      <c r="E135">
        <v>1</v>
      </c>
      <c r="F135">
        <v>1</v>
      </c>
      <c r="G135">
        <v>0</v>
      </c>
      <c r="H135">
        <v>181</v>
      </c>
      <c r="I135">
        <v>96</v>
      </c>
      <c r="J135" t="s">
        <v>5</v>
      </c>
      <c r="K135" t="s">
        <v>6</v>
      </c>
      <c r="L135">
        <v>166</v>
      </c>
      <c r="M135">
        <v>87</v>
      </c>
      <c r="N135">
        <v>0</v>
      </c>
      <c r="O135">
        <v>5</v>
      </c>
      <c r="P135" s="1">
        <v>45440</v>
      </c>
      <c r="Q135" t="str">
        <f>IF(Hypertension_data[[#This Row],[BP_Controlled_After_3_Months]]=1,"Controlled","Not Controlled")</f>
        <v>Not Controlled</v>
      </c>
      <c r="R135">
        <f t="shared" si="6"/>
        <v>15</v>
      </c>
      <c r="S135">
        <f t="shared" si="7"/>
        <v>9</v>
      </c>
      <c r="T135" s="11" t="str">
        <f t="shared" si="8"/>
        <v>50-59</v>
      </c>
    </row>
    <row r="136" spans="1:20" x14ac:dyDescent="0.35">
      <c r="A136" t="s">
        <v>145</v>
      </c>
      <c r="B136">
        <v>71</v>
      </c>
      <c r="C136" t="s">
        <v>12</v>
      </c>
      <c r="D136">
        <v>0</v>
      </c>
      <c r="E136">
        <v>1</v>
      </c>
      <c r="F136">
        <v>0</v>
      </c>
      <c r="G136">
        <v>0</v>
      </c>
      <c r="H136">
        <v>169</v>
      </c>
      <c r="I136">
        <v>92</v>
      </c>
      <c r="J136" t="s">
        <v>13</v>
      </c>
      <c r="K136" t="s">
        <v>15</v>
      </c>
      <c r="L136">
        <v>141</v>
      </c>
      <c r="M136">
        <v>76</v>
      </c>
      <c r="N136">
        <v>0</v>
      </c>
      <c r="O136">
        <v>4</v>
      </c>
      <c r="P136" s="1">
        <v>45396</v>
      </c>
      <c r="Q136" t="str">
        <f>IF(Hypertension_data[[#This Row],[BP_Controlled_After_3_Months]]=1,"Controlled","Not Controlled")</f>
        <v>Not Controlled</v>
      </c>
      <c r="R136">
        <f t="shared" si="6"/>
        <v>28</v>
      </c>
      <c r="S136">
        <f t="shared" si="7"/>
        <v>16</v>
      </c>
      <c r="T136" s="11" t="str">
        <f t="shared" si="8"/>
        <v>70+</v>
      </c>
    </row>
    <row r="137" spans="1:20" x14ac:dyDescent="0.35">
      <c r="A137" t="s">
        <v>146</v>
      </c>
      <c r="B137">
        <v>51</v>
      </c>
      <c r="C137" t="s">
        <v>1</v>
      </c>
      <c r="D137">
        <v>0</v>
      </c>
      <c r="E137">
        <v>0</v>
      </c>
      <c r="F137">
        <v>0</v>
      </c>
      <c r="G137">
        <v>0</v>
      </c>
      <c r="H137">
        <v>148</v>
      </c>
      <c r="I137">
        <v>114</v>
      </c>
      <c r="J137" t="s">
        <v>8</v>
      </c>
      <c r="K137" t="s">
        <v>3</v>
      </c>
      <c r="L137">
        <v>145</v>
      </c>
      <c r="M137">
        <v>113</v>
      </c>
      <c r="N137">
        <v>0</v>
      </c>
      <c r="O137">
        <v>4</v>
      </c>
      <c r="P137" s="1">
        <v>45354</v>
      </c>
      <c r="Q137" t="str">
        <f>IF(Hypertension_data[[#This Row],[BP_Controlled_After_3_Months]]=1,"Controlled","Not Controlled")</f>
        <v>Not Controlled</v>
      </c>
      <c r="R137">
        <f t="shared" si="6"/>
        <v>3</v>
      </c>
      <c r="S137">
        <f t="shared" si="7"/>
        <v>1</v>
      </c>
      <c r="T137" s="11" t="str">
        <f t="shared" si="8"/>
        <v>50-59</v>
      </c>
    </row>
    <row r="138" spans="1:20" x14ac:dyDescent="0.35">
      <c r="A138" t="s">
        <v>147</v>
      </c>
      <c r="B138">
        <v>47</v>
      </c>
      <c r="C138" t="s">
        <v>12</v>
      </c>
      <c r="D138">
        <v>1</v>
      </c>
      <c r="E138">
        <v>1</v>
      </c>
      <c r="F138">
        <v>1</v>
      </c>
      <c r="G138">
        <v>1</v>
      </c>
      <c r="H138">
        <v>158</v>
      </c>
      <c r="I138">
        <v>120</v>
      </c>
      <c r="J138" t="s">
        <v>19</v>
      </c>
      <c r="K138" t="s">
        <v>3</v>
      </c>
      <c r="L138">
        <v>156</v>
      </c>
      <c r="M138">
        <v>119</v>
      </c>
      <c r="N138">
        <v>0</v>
      </c>
      <c r="O138">
        <v>3</v>
      </c>
      <c r="P138" s="1">
        <v>45587</v>
      </c>
      <c r="Q138" t="str">
        <f>IF(Hypertension_data[[#This Row],[BP_Controlled_After_3_Months]]=1,"Controlled","Not Controlled")</f>
        <v>Not Controlled</v>
      </c>
      <c r="R138">
        <f t="shared" si="6"/>
        <v>2</v>
      </c>
      <c r="S138">
        <f t="shared" si="7"/>
        <v>1</v>
      </c>
      <c r="T138" s="11" t="str">
        <f t="shared" si="8"/>
        <v>40-49</v>
      </c>
    </row>
    <row r="139" spans="1:20" x14ac:dyDescent="0.35">
      <c r="A139" t="s">
        <v>148</v>
      </c>
      <c r="B139">
        <v>76</v>
      </c>
      <c r="C139" t="s">
        <v>12</v>
      </c>
      <c r="D139">
        <v>1</v>
      </c>
      <c r="E139">
        <v>1</v>
      </c>
      <c r="F139">
        <v>0</v>
      </c>
      <c r="G139">
        <v>0</v>
      </c>
      <c r="H139">
        <v>171</v>
      </c>
      <c r="I139">
        <v>118</v>
      </c>
      <c r="J139" t="s">
        <v>8</v>
      </c>
      <c r="K139" t="s">
        <v>6</v>
      </c>
      <c r="L139">
        <v>162</v>
      </c>
      <c r="M139">
        <v>113</v>
      </c>
      <c r="N139">
        <v>0</v>
      </c>
      <c r="O139">
        <v>5</v>
      </c>
      <c r="P139" s="1">
        <v>45526</v>
      </c>
      <c r="Q139" t="str">
        <f>IF(Hypertension_data[[#This Row],[BP_Controlled_After_3_Months]]=1,"Controlled","Not Controlled")</f>
        <v>Not Controlled</v>
      </c>
      <c r="R139">
        <f t="shared" si="6"/>
        <v>9</v>
      </c>
      <c r="S139">
        <f t="shared" si="7"/>
        <v>5</v>
      </c>
      <c r="T139" s="11" t="str">
        <f t="shared" si="8"/>
        <v>70+</v>
      </c>
    </row>
    <row r="140" spans="1:20" x14ac:dyDescent="0.35">
      <c r="A140" t="s">
        <v>149</v>
      </c>
      <c r="B140">
        <v>45</v>
      </c>
      <c r="C140" t="s">
        <v>1</v>
      </c>
      <c r="D140">
        <v>0</v>
      </c>
      <c r="E140">
        <v>1</v>
      </c>
      <c r="F140">
        <v>1</v>
      </c>
      <c r="G140">
        <v>0</v>
      </c>
      <c r="H140">
        <v>171</v>
      </c>
      <c r="I140">
        <v>109</v>
      </c>
      <c r="J140" t="s">
        <v>13</v>
      </c>
      <c r="K140" t="s">
        <v>3</v>
      </c>
      <c r="L140">
        <v>158</v>
      </c>
      <c r="M140">
        <v>102</v>
      </c>
      <c r="N140">
        <v>0</v>
      </c>
      <c r="O140">
        <v>1</v>
      </c>
      <c r="P140" s="1">
        <v>45512</v>
      </c>
      <c r="Q140" t="str">
        <f>IF(Hypertension_data[[#This Row],[BP_Controlled_After_3_Months]]=1,"Controlled","Not Controlled")</f>
        <v>Not Controlled</v>
      </c>
      <c r="R140">
        <f t="shared" si="6"/>
        <v>13</v>
      </c>
      <c r="S140">
        <f t="shared" si="7"/>
        <v>7</v>
      </c>
      <c r="T140" s="11" t="str">
        <f t="shared" si="8"/>
        <v>40-49</v>
      </c>
    </row>
    <row r="141" spans="1:20" x14ac:dyDescent="0.35">
      <c r="A141" t="s">
        <v>150</v>
      </c>
      <c r="B141">
        <v>38</v>
      </c>
      <c r="C141" t="s">
        <v>12</v>
      </c>
      <c r="D141">
        <v>0</v>
      </c>
      <c r="E141">
        <v>0</v>
      </c>
      <c r="F141">
        <v>0</v>
      </c>
      <c r="G141">
        <v>1</v>
      </c>
      <c r="H141">
        <v>165</v>
      </c>
      <c r="I141">
        <v>91</v>
      </c>
      <c r="J141" t="s">
        <v>5</v>
      </c>
      <c r="K141" t="s">
        <v>3</v>
      </c>
      <c r="L141">
        <v>157</v>
      </c>
      <c r="M141">
        <v>87</v>
      </c>
      <c r="N141">
        <v>0</v>
      </c>
      <c r="O141">
        <v>3</v>
      </c>
      <c r="P141" s="1">
        <v>45329</v>
      </c>
      <c r="Q141" t="str">
        <f>IF(Hypertension_data[[#This Row],[BP_Controlled_After_3_Months]]=1,"Controlled","Not Controlled")</f>
        <v>Not Controlled</v>
      </c>
      <c r="R141">
        <f t="shared" si="6"/>
        <v>8</v>
      </c>
      <c r="S141">
        <f t="shared" si="7"/>
        <v>4</v>
      </c>
      <c r="T141" s="11" t="str">
        <f t="shared" si="8"/>
        <v>30-39</v>
      </c>
    </row>
    <row r="142" spans="1:20" x14ac:dyDescent="0.35">
      <c r="A142" t="s">
        <v>151</v>
      </c>
      <c r="B142">
        <v>54</v>
      </c>
      <c r="C142" t="s">
        <v>12</v>
      </c>
      <c r="D142">
        <v>0</v>
      </c>
      <c r="E142">
        <v>1</v>
      </c>
      <c r="F142">
        <v>1</v>
      </c>
      <c r="G142">
        <v>1</v>
      </c>
      <c r="H142">
        <v>165</v>
      </c>
      <c r="I142">
        <v>101</v>
      </c>
      <c r="J142" t="s">
        <v>8</v>
      </c>
      <c r="K142" t="s">
        <v>3</v>
      </c>
      <c r="L142">
        <v>162</v>
      </c>
      <c r="M142">
        <v>100</v>
      </c>
      <c r="N142">
        <v>0</v>
      </c>
      <c r="O142">
        <v>5</v>
      </c>
      <c r="P142" s="1">
        <v>45552</v>
      </c>
      <c r="Q142" t="str">
        <f>IF(Hypertension_data[[#This Row],[BP_Controlled_After_3_Months]]=1,"Controlled","Not Controlled")</f>
        <v>Not Controlled</v>
      </c>
      <c r="R142">
        <f t="shared" si="6"/>
        <v>3</v>
      </c>
      <c r="S142">
        <f t="shared" si="7"/>
        <v>1</v>
      </c>
      <c r="T142" s="11" t="str">
        <f t="shared" si="8"/>
        <v>50-59</v>
      </c>
    </row>
    <row r="143" spans="1:20" x14ac:dyDescent="0.35">
      <c r="A143" t="s">
        <v>152</v>
      </c>
      <c r="B143">
        <v>55</v>
      </c>
      <c r="C143" t="s">
        <v>1</v>
      </c>
      <c r="D143">
        <v>1</v>
      </c>
      <c r="E143">
        <v>1</v>
      </c>
      <c r="F143">
        <v>1</v>
      </c>
      <c r="G143">
        <v>0</v>
      </c>
      <c r="H143">
        <v>170</v>
      </c>
      <c r="I143">
        <v>106</v>
      </c>
      <c r="J143" t="s">
        <v>19</v>
      </c>
      <c r="K143" t="s">
        <v>15</v>
      </c>
      <c r="L143">
        <v>151</v>
      </c>
      <c r="M143">
        <v>95</v>
      </c>
      <c r="N143">
        <v>0</v>
      </c>
      <c r="O143">
        <v>3</v>
      </c>
      <c r="P143" s="1">
        <v>45375</v>
      </c>
      <c r="Q143" t="str">
        <f>IF(Hypertension_data[[#This Row],[BP_Controlled_After_3_Months]]=1,"Controlled","Not Controlled")</f>
        <v>Not Controlled</v>
      </c>
      <c r="R143">
        <f t="shared" si="6"/>
        <v>19</v>
      </c>
      <c r="S143">
        <f t="shared" si="7"/>
        <v>11</v>
      </c>
      <c r="T143" s="11" t="str">
        <f t="shared" si="8"/>
        <v>50-59</v>
      </c>
    </row>
    <row r="144" spans="1:20" x14ac:dyDescent="0.35">
      <c r="A144" t="s">
        <v>153</v>
      </c>
      <c r="B144">
        <v>55</v>
      </c>
      <c r="C144" t="s">
        <v>12</v>
      </c>
      <c r="D144">
        <v>0</v>
      </c>
      <c r="E144">
        <v>0</v>
      </c>
      <c r="F144">
        <v>0</v>
      </c>
      <c r="G144">
        <v>0</v>
      </c>
      <c r="H144">
        <v>141</v>
      </c>
      <c r="I144">
        <v>101</v>
      </c>
      <c r="J144" t="s">
        <v>8</v>
      </c>
      <c r="K144" t="s">
        <v>3</v>
      </c>
      <c r="L144">
        <v>132</v>
      </c>
      <c r="M144">
        <v>96</v>
      </c>
      <c r="N144">
        <v>0</v>
      </c>
      <c r="O144">
        <v>3</v>
      </c>
      <c r="P144" s="1">
        <v>45644</v>
      </c>
      <c r="Q144" t="str">
        <f>IF(Hypertension_data[[#This Row],[BP_Controlled_After_3_Months]]=1,"Controlled","Not Controlled")</f>
        <v>Not Controlled</v>
      </c>
      <c r="R144">
        <f t="shared" si="6"/>
        <v>9</v>
      </c>
      <c r="S144">
        <f t="shared" si="7"/>
        <v>5</v>
      </c>
      <c r="T144" s="11" t="str">
        <f t="shared" si="8"/>
        <v>50-59</v>
      </c>
    </row>
    <row r="145" spans="1:20" x14ac:dyDescent="0.35">
      <c r="A145" t="s">
        <v>154</v>
      </c>
      <c r="B145">
        <v>70</v>
      </c>
      <c r="C145" t="s">
        <v>1</v>
      </c>
      <c r="D145">
        <v>0</v>
      </c>
      <c r="E145">
        <v>0</v>
      </c>
      <c r="F145">
        <v>1</v>
      </c>
      <c r="G145">
        <v>1</v>
      </c>
      <c r="H145">
        <v>177</v>
      </c>
      <c r="I145">
        <v>105</v>
      </c>
      <c r="J145" t="s">
        <v>10</v>
      </c>
      <c r="K145" t="s">
        <v>3</v>
      </c>
      <c r="L145">
        <v>167</v>
      </c>
      <c r="M145">
        <v>99</v>
      </c>
      <c r="N145">
        <v>0</v>
      </c>
      <c r="O145">
        <v>2</v>
      </c>
      <c r="P145" s="1">
        <v>45308</v>
      </c>
      <c r="Q145" t="str">
        <f>IF(Hypertension_data[[#This Row],[BP_Controlled_After_3_Months]]=1,"Controlled","Not Controlled")</f>
        <v>Not Controlled</v>
      </c>
      <c r="R145">
        <f t="shared" si="6"/>
        <v>10</v>
      </c>
      <c r="S145">
        <f t="shared" si="7"/>
        <v>6</v>
      </c>
      <c r="T145" s="11" t="str">
        <f t="shared" si="8"/>
        <v>70+</v>
      </c>
    </row>
    <row r="146" spans="1:20" x14ac:dyDescent="0.35">
      <c r="A146" t="s">
        <v>155</v>
      </c>
      <c r="B146">
        <v>66</v>
      </c>
      <c r="C146" t="s">
        <v>1</v>
      </c>
      <c r="D146">
        <v>1</v>
      </c>
      <c r="E146">
        <v>1</v>
      </c>
      <c r="F146">
        <v>0</v>
      </c>
      <c r="G146">
        <v>0</v>
      </c>
      <c r="H146">
        <v>166</v>
      </c>
      <c r="I146">
        <v>94</v>
      </c>
      <c r="J146" t="s">
        <v>19</v>
      </c>
      <c r="K146" t="s">
        <v>3</v>
      </c>
      <c r="L146">
        <v>158</v>
      </c>
      <c r="M146">
        <v>90</v>
      </c>
      <c r="N146">
        <v>0</v>
      </c>
      <c r="O146">
        <v>5</v>
      </c>
      <c r="P146" s="1">
        <v>45533</v>
      </c>
      <c r="Q146" t="str">
        <f>IF(Hypertension_data[[#This Row],[BP_Controlled_After_3_Months]]=1,"Controlled","Not Controlled")</f>
        <v>Not Controlled</v>
      </c>
      <c r="R146">
        <f t="shared" si="6"/>
        <v>8</v>
      </c>
      <c r="S146">
        <f t="shared" si="7"/>
        <v>4</v>
      </c>
      <c r="T146" s="11" t="str">
        <f t="shared" si="8"/>
        <v>60-69</v>
      </c>
    </row>
    <row r="147" spans="1:20" x14ac:dyDescent="0.35">
      <c r="A147" t="s">
        <v>156</v>
      </c>
      <c r="B147">
        <v>85</v>
      </c>
      <c r="C147" t="s">
        <v>1</v>
      </c>
      <c r="D147">
        <v>1</v>
      </c>
      <c r="E147">
        <v>1</v>
      </c>
      <c r="F147">
        <v>0</v>
      </c>
      <c r="G147">
        <v>0</v>
      </c>
      <c r="H147">
        <v>173</v>
      </c>
      <c r="I147">
        <v>102</v>
      </c>
      <c r="J147" t="s">
        <v>8</v>
      </c>
      <c r="K147" t="s">
        <v>15</v>
      </c>
      <c r="L147">
        <v>144</v>
      </c>
      <c r="M147">
        <v>85</v>
      </c>
      <c r="N147">
        <v>0</v>
      </c>
      <c r="O147">
        <v>5</v>
      </c>
      <c r="P147" s="1">
        <v>45473</v>
      </c>
      <c r="Q147" t="str">
        <f>IF(Hypertension_data[[#This Row],[BP_Controlled_After_3_Months]]=1,"Controlled","Not Controlled")</f>
        <v>Not Controlled</v>
      </c>
      <c r="R147">
        <f t="shared" si="6"/>
        <v>29</v>
      </c>
      <c r="S147">
        <f t="shared" si="7"/>
        <v>17</v>
      </c>
      <c r="T147" s="11" t="str">
        <f t="shared" si="8"/>
        <v>70+</v>
      </c>
    </row>
    <row r="148" spans="1:20" x14ac:dyDescent="0.35">
      <c r="A148" t="s">
        <v>157</v>
      </c>
      <c r="B148">
        <v>73</v>
      </c>
      <c r="C148" t="s">
        <v>12</v>
      </c>
      <c r="D148">
        <v>0</v>
      </c>
      <c r="E148">
        <v>1</v>
      </c>
      <c r="F148">
        <v>1</v>
      </c>
      <c r="G148">
        <v>0</v>
      </c>
      <c r="H148">
        <v>175</v>
      </c>
      <c r="I148">
        <v>99</v>
      </c>
      <c r="J148" t="s">
        <v>10</v>
      </c>
      <c r="K148" t="s">
        <v>6</v>
      </c>
      <c r="L148">
        <v>164</v>
      </c>
      <c r="M148">
        <v>93</v>
      </c>
      <c r="N148">
        <v>0</v>
      </c>
      <c r="O148">
        <v>3</v>
      </c>
      <c r="P148" s="1">
        <v>45537</v>
      </c>
      <c r="Q148" t="str">
        <f>IF(Hypertension_data[[#This Row],[BP_Controlled_After_3_Months]]=1,"Controlled","Not Controlled")</f>
        <v>Not Controlled</v>
      </c>
      <c r="R148">
        <f t="shared" si="6"/>
        <v>11</v>
      </c>
      <c r="S148">
        <f t="shared" si="7"/>
        <v>6</v>
      </c>
      <c r="T148" s="11" t="str">
        <f t="shared" si="8"/>
        <v>70+</v>
      </c>
    </row>
    <row r="149" spans="1:20" x14ac:dyDescent="0.35">
      <c r="A149" t="s">
        <v>158</v>
      </c>
      <c r="B149">
        <v>52</v>
      </c>
      <c r="C149" t="s">
        <v>12</v>
      </c>
      <c r="D149">
        <v>0</v>
      </c>
      <c r="E149">
        <v>1</v>
      </c>
      <c r="F149">
        <v>0</v>
      </c>
      <c r="G149">
        <v>0</v>
      </c>
      <c r="H149">
        <v>162</v>
      </c>
      <c r="I149">
        <v>120</v>
      </c>
      <c r="J149" t="s">
        <v>10</v>
      </c>
      <c r="K149" t="s">
        <v>6</v>
      </c>
      <c r="L149">
        <v>150</v>
      </c>
      <c r="M149">
        <v>113</v>
      </c>
      <c r="N149">
        <v>0</v>
      </c>
      <c r="O149">
        <v>3</v>
      </c>
      <c r="P149" s="1">
        <v>45518</v>
      </c>
      <c r="Q149" t="str">
        <f>IF(Hypertension_data[[#This Row],[BP_Controlled_After_3_Months]]=1,"Controlled","Not Controlled")</f>
        <v>Not Controlled</v>
      </c>
      <c r="R149">
        <f t="shared" si="6"/>
        <v>12</v>
      </c>
      <c r="S149">
        <f t="shared" si="7"/>
        <v>7</v>
      </c>
      <c r="T149" s="11" t="str">
        <f t="shared" si="8"/>
        <v>50-59</v>
      </c>
    </row>
    <row r="150" spans="1:20" x14ac:dyDescent="0.35">
      <c r="A150" t="s">
        <v>159</v>
      </c>
      <c r="B150">
        <v>71</v>
      </c>
      <c r="C150" t="s">
        <v>12</v>
      </c>
      <c r="D150">
        <v>0</v>
      </c>
      <c r="E150">
        <v>1</v>
      </c>
      <c r="F150">
        <v>1</v>
      </c>
      <c r="G150">
        <v>0</v>
      </c>
      <c r="H150">
        <v>175</v>
      </c>
      <c r="I150">
        <v>112</v>
      </c>
      <c r="J150" t="s">
        <v>8</v>
      </c>
      <c r="K150" t="s">
        <v>15</v>
      </c>
      <c r="L150">
        <v>157</v>
      </c>
      <c r="M150">
        <v>102</v>
      </c>
      <c r="N150">
        <v>0</v>
      </c>
      <c r="O150">
        <v>2</v>
      </c>
      <c r="P150" s="1">
        <v>45416</v>
      </c>
      <c r="Q150" t="str">
        <f>IF(Hypertension_data[[#This Row],[BP_Controlled_After_3_Months]]=1,"Controlled","Not Controlled")</f>
        <v>Not Controlled</v>
      </c>
      <c r="R150">
        <f t="shared" si="6"/>
        <v>18</v>
      </c>
      <c r="S150">
        <f t="shared" si="7"/>
        <v>10</v>
      </c>
      <c r="T150" s="11" t="str">
        <f t="shared" si="8"/>
        <v>70+</v>
      </c>
    </row>
    <row r="151" spans="1:20" x14ac:dyDescent="0.35">
      <c r="A151" t="s">
        <v>160</v>
      </c>
      <c r="B151">
        <v>33</v>
      </c>
      <c r="C151" t="s">
        <v>1</v>
      </c>
      <c r="D151">
        <v>1</v>
      </c>
      <c r="E151">
        <v>1</v>
      </c>
      <c r="F151">
        <v>1</v>
      </c>
      <c r="G151">
        <v>0</v>
      </c>
      <c r="H151">
        <v>161</v>
      </c>
      <c r="I151">
        <v>112</v>
      </c>
      <c r="J151" t="s">
        <v>19</v>
      </c>
      <c r="K151" t="s">
        <v>15</v>
      </c>
      <c r="L151">
        <v>142</v>
      </c>
      <c r="M151">
        <v>101</v>
      </c>
      <c r="N151">
        <v>0</v>
      </c>
      <c r="O151">
        <v>2</v>
      </c>
      <c r="P151" s="1">
        <v>45500</v>
      </c>
      <c r="Q151" t="str">
        <f>IF(Hypertension_data[[#This Row],[BP_Controlled_After_3_Months]]=1,"Controlled","Not Controlled")</f>
        <v>Not Controlled</v>
      </c>
      <c r="R151">
        <f t="shared" si="6"/>
        <v>19</v>
      </c>
      <c r="S151">
        <f t="shared" si="7"/>
        <v>11</v>
      </c>
      <c r="T151" s="11" t="str">
        <f t="shared" si="8"/>
        <v>30-39</v>
      </c>
    </row>
    <row r="152" spans="1:20" x14ac:dyDescent="0.35">
      <c r="A152" t="s">
        <v>161</v>
      </c>
      <c r="B152">
        <v>71</v>
      </c>
      <c r="C152" t="s">
        <v>12</v>
      </c>
      <c r="D152">
        <v>0</v>
      </c>
      <c r="E152">
        <v>1</v>
      </c>
      <c r="F152">
        <v>0</v>
      </c>
      <c r="G152">
        <v>0</v>
      </c>
      <c r="H152">
        <v>158</v>
      </c>
      <c r="I152">
        <v>110</v>
      </c>
      <c r="J152" t="s">
        <v>2</v>
      </c>
      <c r="K152" t="s">
        <v>15</v>
      </c>
      <c r="L152">
        <v>136</v>
      </c>
      <c r="M152">
        <v>97</v>
      </c>
      <c r="N152">
        <v>0</v>
      </c>
      <c r="O152">
        <v>2</v>
      </c>
      <c r="P152" s="1">
        <v>45505</v>
      </c>
      <c r="Q152" t="str">
        <f>IF(Hypertension_data[[#This Row],[BP_Controlled_After_3_Months]]=1,"Controlled","Not Controlled")</f>
        <v>Not Controlled</v>
      </c>
      <c r="R152">
        <f t="shared" si="6"/>
        <v>22</v>
      </c>
      <c r="S152">
        <f t="shared" si="7"/>
        <v>13</v>
      </c>
      <c r="T152" s="11" t="str">
        <f t="shared" si="8"/>
        <v>70+</v>
      </c>
    </row>
    <row r="153" spans="1:20" x14ac:dyDescent="0.35">
      <c r="A153" t="s">
        <v>162</v>
      </c>
      <c r="B153">
        <v>83</v>
      </c>
      <c r="C153" t="s">
        <v>1</v>
      </c>
      <c r="D153">
        <v>1</v>
      </c>
      <c r="E153">
        <v>0</v>
      </c>
      <c r="F153">
        <v>0</v>
      </c>
      <c r="G153">
        <v>1</v>
      </c>
      <c r="H153">
        <v>187</v>
      </c>
      <c r="I153">
        <v>120</v>
      </c>
      <c r="J153" t="s">
        <v>8</v>
      </c>
      <c r="K153" t="s">
        <v>15</v>
      </c>
      <c r="L153">
        <v>172</v>
      </c>
      <c r="M153">
        <v>111</v>
      </c>
      <c r="N153">
        <v>0</v>
      </c>
      <c r="O153">
        <v>5</v>
      </c>
      <c r="P153" s="1">
        <v>45346</v>
      </c>
      <c r="Q153" t="str">
        <f>IF(Hypertension_data[[#This Row],[BP_Controlled_After_3_Months]]=1,"Controlled","Not Controlled")</f>
        <v>Not Controlled</v>
      </c>
      <c r="R153">
        <f t="shared" si="6"/>
        <v>15</v>
      </c>
      <c r="S153">
        <f t="shared" si="7"/>
        <v>9</v>
      </c>
      <c r="T153" s="11" t="str">
        <f t="shared" si="8"/>
        <v>70+</v>
      </c>
    </row>
    <row r="154" spans="1:20" x14ac:dyDescent="0.35">
      <c r="A154" t="s">
        <v>163</v>
      </c>
      <c r="B154">
        <v>51</v>
      </c>
      <c r="C154" t="s">
        <v>12</v>
      </c>
      <c r="D154">
        <v>0</v>
      </c>
      <c r="E154">
        <v>0</v>
      </c>
      <c r="F154">
        <v>1</v>
      </c>
      <c r="G154">
        <v>0</v>
      </c>
      <c r="H154">
        <v>157</v>
      </c>
      <c r="I154">
        <v>96</v>
      </c>
      <c r="J154" t="s">
        <v>2</v>
      </c>
      <c r="K154" t="s">
        <v>6</v>
      </c>
      <c r="L154">
        <v>142</v>
      </c>
      <c r="M154">
        <v>87</v>
      </c>
      <c r="N154">
        <v>0</v>
      </c>
      <c r="O154">
        <v>3</v>
      </c>
      <c r="P154" s="1">
        <v>45387</v>
      </c>
      <c r="Q154" t="str">
        <f>IF(Hypertension_data[[#This Row],[BP_Controlled_After_3_Months]]=1,"Controlled","Not Controlled")</f>
        <v>Not Controlled</v>
      </c>
      <c r="R154">
        <f t="shared" si="6"/>
        <v>15</v>
      </c>
      <c r="S154">
        <f t="shared" si="7"/>
        <v>9</v>
      </c>
      <c r="T154" s="11" t="str">
        <f t="shared" si="8"/>
        <v>50-59</v>
      </c>
    </row>
    <row r="155" spans="1:20" x14ac:dyDescent="0.35">
      <c r="A155" t="s">
        <v>164</v>
      </c>
      <c r="B155">
        <v>30</v>
      </c>
      <c r="C155" t="s">
        <v>12</v>
      </c>
      <c r="D155">
        <v>0</v>
      </c>
      <c r="E155">
        <v>1</v>
      </c>
      <c r="F155">
        <v>1</v>
      </c>
      <c r="G155">
        <v>0</v>
      </c>
      <c r="H155">
        <v>167</v>
      </c>
      <c r="I155">
        <v>106</v>
      </c>
      <c r="J155" t="s">
        <v>8</v>
      </c>
      <c r="K155" t="s">
        <v>15</v>
      </c>
      <c r="L155">
        <v>140</v>
      </c>
      <c r="M155">
        <v>90</v>
      </c>
      <c r="N155">
        <v>0</v>
      </c>
      <c r="O155">
        <v>2</v>
      </c>
      <c r="P155" s="1">
        <v>45363</v>
      </c>
      <c r="Q155" t="str">
        <f>IF(Hypertension_data[[#This Row],[BP_Controlled_After_3_Months]]=1,"Controlled","Not Controlled")</f>
        <v>Not Controlled</v>
      </c>
      <c r="R155">
        <f t="shared" si="6"/>
        <v>27</v>
      </c>
      <c r="S155">
        <f t="shared" si="7"/>
        <v>16</v>
      </c>
      <c r="T155" s="11" t="str">
        <f t="shared" si="8"/>
        <v>30-39</v>
      </c>
    </row>
    <row r="156" spans="1:20" x14ac:dyDescent="0.35">
      <c r="A156" t="s">
        <v>165</v>
      </c>
      <c r="B156">
        <v>60</v>
      </c>
      <c r="C156" t="s">
        <v>12</v>
      </c>
      <c r="D156">
        <v>1</v>
      </c>
      <c r="E156">
        <v>1</v>
      </c>
      <c r="F156">
        <v>0</v>
      </c>
      <c r="G156">
        <v>0</v>
      </c>
      <c r="H156">
        <v>155</v>
      </c>
      <c r="I156">
        <v>104</v>
      </c>
      <c r="J156" t="s">
        <v>8</v>
      </c>
      <c r="K156" t="s">
        <v>6</v>
      </c>
      <c r="L156">
        <v>138</v>
      </c>
      <c r="M156">
        <v>94</v>
      </c>
      <c r="N156">
        <v>0</v>
      </c>
      <c r="O156">
        <v>1</v>
      </c>
      <c r="P156" s="1">
        <v>45425</v>
      </c>
      <c r="Q156" t="str">
        <f>IF(Hypertension_data[[#This Row],[BP_Controlled_After_3_Months]]=1,"Controlled","Not Controlled")</f>
        <v>Not Controlled</v>
      </c>
      <c r="R156">
        <f t="shared" si="6"/>
        <v>17</v>
      </c>
      <c r="S156">
        <f t="shared" si="7"/>
        <v>10</v>
      </c>
      <c r="T156" s="11" t="str">
        <f t="shared" si="8"/>
        <v>60-69</v>
      </c>
    </row>
    <row r="157" spans="1:20" x14ac:dyDescent="0.35">
      <c r="A157" t="s">
        <v>166</v>
      </c>
      <c r="B157">
        <v>71</v>
      </c>
      <c r="C157" t="s">
        <v>12</v>
      </c>
      <c r="D157">
        <v>1</v>
      </c>
      <c r="E157">
        <v>1</v>
      </c>
      <c r="F157">
        <v>1</v>
      </c>
      <c r="G157">
        <v>0</v>
      </c>
      <c r="H157">
        <v>159</v>
      </c>
      <c r="I157">
        <v>95</v>
      </c>
      <c r="J157" t="s">
        <v>19</v>
      </c>
      <c r="K157" t="s">
        <v>3</v>
      </c>
      <c r="L157">
        <v>149</v>
      </c>
      <c r="M157">
        <v>89</v>
      </c>
      <c r="N157">
        <v>0</v>
      </c>
      <c r="O157">
        <v>3</v>
      </c>
      <c r="P157" s="1">
        <v>45480</v>
      </c>
      <c r="Q157" t="str">
        <f>IF(Hypertension_data[[#This Row],[BP_Controlled_After_3_Months]]=1,"Controlled","Not Controlled")</f>
        <v>Not Controlled</v>
      </c>
      <c r="R157">
        <f t="shared" si="6"/>
        <v>10</v>
      </c>
      <c r="S157">
        <f t="shared" si="7"/>
        <v>6</v>
      </c>
      <c r="T157" s="11" t="str">
        <f t="shared" si="8"/>
        <v>70+</v>
      </c>
    </row>
    <row r="158" spans="1:20" x14ac:dyDescent="0.35">
      <c r="A158" t="s">
        <v>167</v>
      </c>
      <c r="B158">
        <v>69</v>
      </c>
      <c r="C158" t="s">
        <v>1</v>
      </c>
      <c r="D158">
        <v>1</v>
      </c>
      <c r="E158">
        <v>1</v>
      </c>
      <c r="F158">
        <v>0</v>
      </c>
      <c r="G158">
        <v>1</v>
      </c>
      <c r="H158">
        <v>169</v>
      </c>
      <c r="I158">
        <v>113</v>
      </c>
      <c r="J158" t="s">
        <v>5</v>
      </c>
      <c r="K158" t="s">
        <v>6</v>
      </c>
      <c r="L158">
        <v>153</v>
      </c>
      <c r="M158">
        <v>104</v>
      </c>
      <c r="N158">
        <v>0</v>
      </c>
      <c r="O158">
        <v>5</v>
      </c>
      <c r="P158" s="1">
        <v>45632</v>
      </c>
      <c r="Q158" t="str">
        <f>IF(Hypertension_data[[#This Row],[BP_Controlled_After_3_Months]]=1,"Controlled","Not Controlled")</f>
        <v>Not Controlled</v>
      </c>
      <c r="R158">
        <f t="shared" si="6"/>
        <v>16</v>
      </c>
      <c r="S158">
        <f t="shared" si="7"/>
        <v>9</v>
      </c>
      <c r="T158" s="11" t="str">
        <f t="shared" si="8"/>
        <v>60-69</v>
      </c>
    </row>
    <row r="159" spans="1:20" x14ac:dyDescent="0.35">
      <c r="A159" t="s">
        <v>168</v>
      </c>
      <c r="B159">
        <v>82</v>
      </c>
      <c r="C159" t="s">
        <v>1</v>
      </c>
      <c r="D159">
        <v>1</v>
      </c>
      <c r="E159">
        <v>1</v>
      </c>
      <c r="F159">
        <v>0</v>
      </c>
      <c r="G159">
        <v>0</v>
      </c>
      <c r="H159">
        <v>144</v>
      </c>
      <c r="I159">
        <v>119</v>
      </c>
      <c r="J159" t="s">
        <v>5</v>
      </c>
      <c r="K159" t="s">
        <v>15</v>
      </c>
      <c r="L159">
        <v>128</v>
      </c>
      <c r="M159">
        <v>110</v>
      </c>
      <c r="N159">
        <v>0</v>
      </c>
      <c r="O159">
        <v>2</v>
      </c>
      <c r="P159" s="1">
        <v>45585</v>
      </c>
      <c r="Q159" t="str">
        <f>IF(Hypertension_data[[#This Row],[BP_Controlled_After_3_Months]]=1,"Controlled","Not Controlled")</f>
        <v>Not Controlled</v>
      </c>
      <c r="R159">
        <f t="shared" si="6"/>
        <v>16</v>
      </c>
      <c r="S159">
        <f t="shared" si="7"/>
        <v>9</v>
      </c>
      <c r="T159" s="11" t="str">
        <f t="shared" si="8"/>
        <v>70+</v>
      </c>
    </row>
    <row r="160" spans="1:20" x14ac:dyDescent="0.35">
      <c r="A160" t="s">
        <v>169</v>
      </c>
      <c r="B160">
        <v>64</v>
      </c>
      <c r="C160" t="s">
        <v>1</v>
      </c>
      <c r="D160">
        <v>1</v>
      </c>
      <c r="E160">
        <v>0</v>
      </c>
      <c r="F160">
        <v>0</v>
      </c>
      <c r="G160">
        <v>1</v>
      </c>
      <c r="H160">
        <v>183</v>
      </c>
      <c r="I160">
        <v>96</v>
      </c>
      <c r="J160" t="s">
        <v>13</v>
      </c>
      <c r="K160" t="s">
        <v>3</v>
      </c>
      <c r="L160">
        <v>167</v>
      </c>
      <c r="M160">
        <v>87</v>
      </c>
      <c r="N160">
        <v>0</v>
      </c>
      <c r="O160">
        <v>1</v>
      </c>
      <c r="P160" s="1">
        <v>45524</v>
      </c>
      <c r="Q160" t="str">
        <f>IF(Hypertension_data[[#This Row],[BP_Controlled_After_3_Months]]=1,"Controlled","Not Controlled")</f>
        <v>Not Controlled</v>
      </c>
      <c r="R160">
        <f t="shared" si="6"/>
        <v>16</v>
      </c>
      <c r="S160">
        <f t="shared" si="7"/>
        <v>9</v>
      </c>
      <c r="T160" s="11" t="str">
        <f t="shared" si="8"/>
        <v>60-69</v>
      </c>
    </row>
    <row r="161" spans="1:20" x14ac:dyDescent="0.35">
      <c r="A161" t="s">
        <v>170</v>
      </c>
      <c r="B161">
        <v>38</v>
      </c>
      <c r="C161" t="s">
        <v>12</v>
      </c>
      <c r="D161">
        <v>0</v>
      </c>
      <c r="E161">
        <v>1</v>
      </c>
      <c r="F161">
        <v>0</v>
      </c>
      <c r="G161">
        <v>0</v>
      </c>
      <c r="H161">
        <v>186</v>
      </c>
      <c r="I161">
        <v>90</v>
      </c>
      <c r="J161" t="s">
        <v>19</v>
      </c>
      <c r="K161" t="s">
        <v>6</v>
      </c>
      <c r="L161">
        <v>175</v>
      </c>
      <c r="M161">
        <v>84</v>
      </c>
      <c r="N161">
        <v>0</v>
      </c>
      <c r="O161">
        <v>1</v>
      </c>
      <c r="P161" s="1">
        <v>45315</v>
      </c>
      <c r="Q161" t="str">
        <f>IF(Hypertension_data[[#This Row],[BP_Controlled_After_3_Months]]=1,"Controlled","Not Controlled")</f>
        <v>Not Controlled</v>
      </c>
      <c r="R161">
        <f t="shared" si="6"/>
        <v>11</v>
      </c>
      <c r="S161">
        <f t="shared" si="7"/>
        <v>6</v>
      </c>
      <c r="T161" s="11" t="str">
        <f t="shared" si="8"/>
        <v>30-39</v>
      </c>
    </row>
    <row r="162" spans="1:20" x14ac:dyDescent="0.35">
      <c r="A162" t="s">
        <v>171</v>
      </c>
      <c r="B162">
        <v>57</v>
      </c>
      <c r="C162" t="s">
        <v>12</v>
      </c>
      <c r="D162">
        <v>1</v>
      </c>
      <c r="E162">
        <v>1</v>
      </c>
      <c r="F162">
        <v>1</v>
      </c>
      <c r="G162">
        <v>0</v>
      </c>
      <c r="H162">
        <v>142</v>
      </c>
      <c r="I162">
        <v>99</v>
      </c>
      <c r="J162" t="s">
        <v>19</v>
      </c>
      <c r="K162" t="s">
        <v>15</v>
      </c>
      <c r="L162">
        <v>123</v>
      </c>
      <c r="M162">
        <v>88</v>
      </c>
      <c r="N162">
        <v>1</v>
      </c>
      <c r="O162">
        <v>4</v>
      </c>
      <c r="P162" s="1">
        <v>45483</v>
      </c>
      <c r="Q162" t="str">
        <f>IF(Hypertension_data[[#This Row],[BP_Controlled_After_3_Months]]=1,"Controlled","Not Controlled")</f>
        <v>Controlled</v>
      </c>
      <c r="R162">
        <f t="shared" si="6"/>
        <v>19</v>
      </c>
      <c r="S162">
        <f t="shared" si="7"/>
        <v>11</v>
      </c>
      <c r="T162" s="11" t="str">
        <f t="shared" si="8"/>
        <v>50-59</v>
      </c>
    </row>
    <row r="163" spans="1:20" x14ac:dyDescent="0.35">
      <c r="A163" t="s">
        <v>172</v>
      </c>
      <c r="B163">
        <v>54</v>
      </c>
      <c r="C163" t="s">
        <v>12</v>
      </c>
      <c r="D163">
        <v>0</v>
      </c>
      <c r="E163">
        <v>0</v>
      </c>
      <c r="F163">
        <v>1</v>
      </c>
      <c r="G163">
        <v>1</v>
      </c>
      <c r="H163">
        <v>181</v>
      </c>
      <c r="I163">
        <v>117</v>
      </c>
      <c r="J163" t="s">
        <v>8</v>
      </c>
      <c r="K163" t="s">
        <v>15</v>
      </c>
      <c r="L163">
        <v>161</v>
      </c>
      <c r="M163">
        <v>105</v>
      </c>
      <c r="N163">
        <v>0</v>
      </c>
      <c r="O163">
        <v>5</v>
      </c>
      <c r="P163" s="1">
        <v>45357</v>
      </c>
      <c r="Q163" t="str">
        <f>IF(Hypertension_data[[#This Row],[BP_Controlled_After_3_Months]]=1,"Controlled","Not Controlled")</f>
        <v>Not Controlled</v>
      </c>
      <c r="R163">
        <f t="shared" si="6"/>
        <v>20</v>
      </c>
      <c r="S163">
        <f t="shared" si="7"/>
        <v>12</v>
      </c>
      <c r="T163" s="11" t="str">
        <f t="shared" si="8"/>
        <v>50-59</v>
      </c>
    </row>
    <row r="164" spans="1:20" x14ac:dyDescent="0.35">
      <c r="A164" t="s">
        <v>173</v>
      </c>
      <c r="B164">
        <v>76</v>
      </c>
      <c r="C164" t="s">
        <v>1</v>
      </c>
      <c r="D164">
        <v>1</v>
      </c>
      <c r="E164">
        <v>1</v>
      </c>
      <c r="F164">
        <v>0</v>
      </c>
      <c r="G164">
        <v>0</v>
      </c>
      <c r="H164">
        <v>183</v>
      </c>
      <c r="I164">
        <v>113</v>
      </c>
      <c r="J164" t="s">
        <v>5</v>
      </c>
      <c r="K164" t="s">
        <v>6</v>
      </c>
      <c r="L164">
        <v>172</v>
      </c>
      <c r="M164">
        <v>107</v>
      </c>
      <c r="N164">
        <v>0</v>
      </c>
      <c r="O164">
        <v>4</v>
      </c>
      <c r="P164" s="1">
        <v>45469</v>
      </c>
      <c r="Q164" t="str">
        <f>IF(Hypertension_data[[#This Row],[BP_Controlled_After_3_Months]]=1,"Controlled","Not Controlled")</f>
        <v>Not Controlled</v>
      </c>
      <c r="R164">
        <f t="shared" si="6"/>
        <v>11</v>
      </c>
      <c r="S164">
        <f t="shared" si="7"/>
        <v>6</v>
      </c>
      <c r="T164" s="11" t="str">
        <f t="shared" si="8"/>
        <v>70+</v>
      </c>
    </row>
    <row r="165" spans="1:20" x14ac:dyDescent="0.35">
      <c r="A165" t="s">
        <v>174</v>
      </c>
      <c r="B165">
        <v>39</v>
      </c>
      <c r="C165" t="s">
        <v>12</v>
      </c>
      <c r="D165">
        <v>1</v>
      </c>
      <c r="E165">
        <v>1</v>
      </c>
      <c r="F165">
        <v>1</v>
      </c>
      <c r="G165">
        <v>0</v>
      </c>
      <c r="H165">
        <v>179</v>
      </c>
      <c r="I165">
        <v>114</v>
      </c>
      <c r="J165" t="s">
        <v>2</v>
      </c>
      <c r="K165" t="s">
        <v>15</v>
      </c>
      <c r="L165">
        <v>158</v>
      </c>
      <c r="M165">
        <v>102</v>
      </c>
      <c r="N165">
        <v>0</v>
      </c>
      <c r="O165">
        <v>5</v>
      </c>
      <c r="P165" s="1">
        <v>45309</v>
      </c>
      <c r="Q165" t="str">
        <f>IF(Hypertension_data[[#This Row],[BP_Controlled_After_3_Months]]=1,"Controlled","Not Controlled")</f>
        <v>Not Controlled</v>
      </c>
      <c r="R165">
        <f t="shared" si="6"/>
        <v>21</v>
      </c>
      <c r="S165">
        <f t="shared" si="7"/>
        <v>12</v>
      </c>
      <c r="T165" s="11" t="str">
        <f t="shared" si="8"/>
        <v>30-39</v>
      </c>
    </row>
    <row r="166" spans="1:20" x14ac:dyDescent="0.35">
      <c r="A166" t="s">
        <v>175</v>
      </c>
      <c r="B166">
        <v>58</v>
      </c>
      <c r="C166" t="s">
        <v>1</v>
      </c>
      <c r="D166">
        <v>1</v>
      </c>
      <c r="E166">
        <v>1</v>
      </c>
      <c r="F166">
        <v>0</v>
      </c>
      <c r="G166">
        <v>0</v>
      </c>
      <c r="H166">
        <v>154</v>
      </c>
      <c r="I166">
        <v>107</v>
      </c>
      <c r="J166" t="s">
        <v>10</v>
      </c>
      <c r="K166" t="s">
        <v>15</v>
      </c>
      <c r="L166">
        <v>135</v>
      </c>
      <c r="M166">
        <v>96</v>
      </c>
      <c r="N166">
        <v>0</v>
      </c>
      <c r="O166">
        <v>2</v>
      </c>
      <c r="P166" s="1">
        <v>45586</v>
      </c>
      <c r="Q166" t="str">
        <f>IF(Hypertension_data[[#This Row],[BP_Controlled_After_3_Months]]=1,"Controlled","Not Controlled")</f>
        <v>Not Controlled</v>
      </c>
      <c r="R166">
        <f t="shared" si="6"/>
        <v>19</v>
      </c>
      <c r="S166">
        <f t="shared" si="7"/>
        <v>11</v>
      </c>
      <c r="T166" s="11" t="str">
        <f t="shared" si="8"/>
        <v>50-59</v>
      </c>
    </row>
    <row r="167" spans="1:20" x14ac:dyDescent="0.35">
      <c r="A167" t="s">
        <v>176</v>
      </c>
      <c r="B167">
        <v>50</v>
      </c>
      <c r="C167" t="s">
        <v>12</v>
      </c>
      <c r="D167">
        <v>1</v>
      </c>
      <c r="E167">
        <v>0</v>
      </c>
      <c r="F167">
        <v>1</v>
      </c>
      <c r="G167">
        <v>1</v>
      </c>
      <c r="H167">
        <v>166</v>
      </c>
      <c r="I167">
        <v>99</v>
      </c>
      <c r="J167" t="s">
        <v>8</v>
      </c>
      <c r="K167" t="s">
        <v>15</v>
      </c>
      <c r="L167">
        <v>146</v>
      </c>
      <c r="M167">
        <v>87</v>
      </c>
      <c r="N167">
        <v>0</v>
      </c>
      <c r="O167">
        <v>4</v>
      </c>
      <c r="P167" s="1">
        <v>45576</v>
      </c>
      <c r="Q167" t="str">
        <f>IF(Hypertension_data[[#This Row],[BP_Controlled_After_3_Months]]=1,"Controlled","Not Controlled")</f>
        <v>Not Controlled</v>
      </c>
      <c r="R167">
        <f t="shared" si="6"/>
        <v>20</v>
      </c>
      <c r="S167">
        <f t="shared" si="7"/>
        <v>12</v>
      </c>
      <c r="T167" s="11" t="str">
        <f t="shared" si="8"/>
        <v>50-59</v>
      </c>
    </row>
    <row r="168" spans="1:20" x14ac:dyDescent="0.35">
      <c r="A168" t="s">
        <v>177</v>
      </c>
      <c r="B168">
        <v>61</v>
      </c>
      <c r="C168" t="s">
        <v>1</v>
      </c>
      <c r="D168">
        <v>0</v>
      </c>
      <c r="E168">
        <v>0</v>
      </c>
      <c r="F168">
        <v>0</v>
      </c>
      <c r="G168">
        <v>0</v>
      </c>
      <c r="H168">
        <v>166</v>
      </c>
      <c r="I168">
        <v>94</v>
      </c>
      <c r="J168" t="s">
        <v>8</v>
      </c>
      <c r="K168" t="s">
        <v>6</v>
      </c>
      <c r="L168">
        <v>150</v>
      </c>
      <c r="M168">
        <v>85</v>
      </c>
      <c r="N168">
        <v>0</v>
      </c>
      <c r="O168">
        <v>2</v>
      </c>
      <c r="P168" s="1">
        <v>45407</v>
      </c>
      <c r="Q168" t="str">
        <f>IF(Hypertension_data[[#This Row],[BP_Controlled_After_3_Months]]=1,"Controlled","Not Controlled")</f>
        <v>Not Controlled</v>
      </c>
      <c r="R168">
        <f t="shared" si="6"/>
        <v>16</v>
      </c>
      <c r="S168">
        <f t="shared" si="7"/>
        <v>9</v>
      </c>
      <c r="T168" s="11" t="str">
        <f t="shared" si="8"/>
        <v>60-69</v>
      </c>
    </row>
    <row r="169" spans="1:20" x14ac:dyDescent="0.35">
      <c r="A169" t="s">
        <v>178</v>
      </c>
      <c r="B169">
        <v>49</v>
      </c>
      <c r="C169" t="s">
        <v>1</v>
      </c>
      <c r="D169">
        <v>0</v>
      </c>
      <c r="E169">
        <v>1</v>
      </c>
      <c r="F169">
        <v>0</v>
      </c>
      <c r="G169">
        <v>0</v>
      </c>
      <c r="H169">
        <v>175</v>
      </c>
      <c r="I169">
        <v>106</v>
      </c>
      <c r="J169" t="s">
        <v>10</v>
      </c>
      <c r="K169" t="s">
        <v>6</v>
      </c>
      <c r="L169">
        <v>163</v>
      </c>
      <c r="M169">
        <v>99</v>
      </c>
      <c r="N169">
        <v>0</v>
      </c>
      <c r="O169">
        <v>3</v>
      </c>
      <c r="P169" s="1">
        <v>45623</v>
      </c>
      <c r="Q169" t="str">
        <f>IF(Hypertension_data[[#This Row],[BP_Controlled_After_3_Months]]=1,"Controlled","Not Controlled")</f>
        <v>Not Controlled</v>
      </c>
      <c r="R169">
        <f t="shared" si="6"/>
        <v>12</v>
      </c>
      <c r="S169">
        <f t="shared" si="7"/>
        <v>7</v>
      </c>
      <c r="T169" s="11" t="str">
        <f t="shared" si="8"/>
        <v>40-49</v>
      </c>
    </row>
    <row r="170" spans="1:20" x14ac:dyDescent="0.35">
      <c r="A170" t="s">
        <v>179</v>
      </c>
      <c r="B170">
        <v>35</v>
      </c>
      <c r="C170" t="s">
        <v>12</v>
      </c>
      <c r="D170">
        <v>0</v>
      </c>
      <c r="E170">
        <v>1</v>
      </c>
      <c r="F170">
        <v>1</v>
      </c>
      <c r="G170">
        <v>1</v>
      </c>
      <c r="H170">
        <v>157</v>
      </c>
      <c r="I170">
        <v>102</v>
      </c>
      <c r="J170" t="s">
        <v>13</v>
      </c>
      <c r="K170" t="s">
        <v>3</v>
      </c>
      <c r="L170">
        <v>145</v>
      </c>
      <c r="M170">
        <v>95</v>
      </c>
      <c r="N170">
        <v>0</v>
      </c>
      <c r="O170">
        <v>6</v>
      </c>
      <c r="P170" s="1">
        <v>45635</v>
      </c>
      <c r="Q170" t="str">
        <f>IF(Hypertension_data[[#This Row],[BP_Controlled_After_3_Months]]=1,"Controlled","Not Controlled")</f>
        <v>Not Controlled</v>
      </c>
      <c r="R170">
        <f t="shared" si="6"/>
        <v>12</v>
      </c>
      <c r="S170">
        <f t="shared" si="7"/>
        <v>7</v>
      </c>
      <c r="T170" s="11" t="str">
        <f t="shared" si="8"/>
        <v>30-39</v>
      </c>
    </row>
    <row r="171" spans="1:20" x14ac:dyDescent="0.35">
      <c r="A171" t="s">
        <v>180</v>
      </c>
      <c r="B171">
        <v>65</v>
      </c>
      <c r="C171" t="s">
        <v>1</v>
      </c>
      <c r="D171">
        <v>0</v>
      </c>
      <c r="E171">
        <v>1</v>
      </c>
      <c r="F171">
        <v>0</v>
      </c>
      <c r="G171">
        <v>0</v>
      </c>
      <c r="H171">
        <v>140</v>
      </c>
      <c r="I171">
        <v>96</v>
      </c>
      <c r="J171" t="s">
        <v>10</v>
      </c>
      <c r="K171" t="s">
        <v>3</v>
      </c>
      <c r="L171">
        <v>137</v>
      </c>
      <c r="M171">
        <v>95</v>
      </c>
      <c r="N171">
        <v>0</v>
      </c>
      <c r="O171">
        <v>6</v>
      </c>
      <c r="P171" s="1">
        <v>45601</v>
      </c>
      <c r="Q171" t="str">
        <f>IF(Hypertension_data[[#This Row],[BP_Controlled_After_3_Months]]=1,"Controlled","Not Controlled")</f>
        <v>Not Controlled</v>
      </c>
      <c r="R171">
        <f t="shared" si="6"/>
        <v>3</v>
      </c>
      <c r="S171">
        <f t="shared" si="7"/>
        <v>1</v>
      </c>
      <c r="T171" s="11" t="str">
        <f t="shared" si="8"/>
        <v>60-69</v>
      </c>
    </row>
    <row r="172" spans="1:20" x14ac:dyDescent="0.35">
      <c r="A172" t="s">
        <v>181</v>
      </c>
      <c r="B172">
        <v>75</v>
      </c>
      <c r="C172" t="s">
        <v>1</v>
      </c>
      <c r="D172">
        <v>0</v>
      </c>
      <c r="E172">
        <v>1</v>
      </c>
      <c r="F172">
        <v>0</v>
      </c>
      <c r="G172">
        <v>0</v>
      </c>
      <c r="H172">
        <v>164</v>
      </c>
      <c r="I172">
        <v>104</v>
      </c>
      <c r="J172" t="s">
        <v>5</v>
      </c>
      <c r="K172" t="s">
        <v>3</v>
      </c>
      <c r="L172">
        <v>160</v>
      </c>
      <c r="M172">
        <v>102</v>
      </c>
      <c r="N172">
        <v>0</v>
      </c>
      <c r="O172">
        <v>3</v>
      </c>
      <c r="P172" s="1">
        <v>45554</v>
      </c>
      <c r="Q172" t="str">
        <f>IF(Hypertension_data[[#This Row],[BP_Controlled_After_3_Months]]=1,"Controlled","Not Controlled")</f>
        <v>Not Controlled</v>
      </c>
      <c r="R172">
        <f t="shared" si="6"/>
        <v>4</v>
      </c>
      <c r="S172">
        <f t="shared" si="7"/>
        <v>2</v>
      </c>
      <c r="T172" s="11" t="str">
        <f t="shared" si="8"/>
        <v>70+</v>
      </c>
    </row>
    <row r="173" spans="1:20" x14ac:dyDescent="0.35">
      <c r="A173" t="s">
        <v>182</v>
      </c>
      <c r="B173">
        <v>61</v>
      </c>
      <c r="C173" t="s">
        <v>12</v>
      </c>
      <c r="D173">
        <v>1</v>
      </c>
      <c r="E173">
        <v>0</v>
      </c>
      <c r="F173">
        <v>0</v>
      </c>
      <c r="G173">
        <v>1</v>
      </c>
      <c r="H173">
        <v>163</v>
      </c>
      <c r="I173">
        <v>100</v>
      </c>
      <c r="J173" t="s">
        <v>19</v>
      </c>
      <c r="K173" t="s">
        <v>15</v>
      </c>
      <c r="L173">
        <v>141</v>
      </c>
      <c r="M173">
        <v>87</v>
      </c>
      <c r="N173">
        <v>0</v>
      </c>
      <c r="O173">
        <v>3</v>
      </c>
      <c r="P173" s="1">
        <v>45575</v>
      </c>
      <c r="Q173" t="str">
        <f>IF(Hypertension_data[[#This Row],[BP_Controlled_After_3_Months]]=1,"Controlled","Not Controlled")</f>
        <v>Not Controlled</v>
      </c>
      <c r="R173">
        <f t="shared" si="6"/>
        <v>22</v>
      </c>
      <c r="S173">
        <f t="shared" si="7"/>
        <v>13</v>
      </c>
      <c r="T173" s="11" t="str">
        <f t="shared" si="8"/>
        <v>60-69</v>
      </c>
    </row>
    <row r="174" spans="1:20" x14ac:dyDescent="0.35">
      <c r="A174" t="s">
        <v>183</v>
      </c>
      <c r="B174">
        <v>67</v>
      </c>
      <c r="C174" t="s">
        <v>12</v>
      </c>
      <c r="D174">
        <v>0</v>
      </c>
      <c r="E174">
        <v>1</v>
      </c>
      <c r="F174">
        <v>1</v>
      </c>
      <c r="G174">
        <v>0</v>
      </c>
      <c r="H174">
        <v>154</v>
      </c>
      <c r="I174">
        <v>102</v>
      </c>
      <c r="J174" t="s">
        <v>5</v>
      </c>
      <c r="K174" t="s">
        <v>15</v>
      </c>
      <c r="L174">
        <v>124</v>
      </c>
      <c r="M174">
        <v>84</v>
      </c>
      <c r="N174">
        <v>1</v>
      </c>
      <c r="O174">
        <v>6</v>
      </c>
      <c r="P174" s="1">
        <v>45464</v>
      </c>
      <c r="Q174" t="str">
        <f>IF(Hypertension_data[[#This Row],[BP_Controlled_After_3_Months]]=1,"Controlled","Not Controlled")</f>
        <v>Controlled</v>
      </c>
      <c r="R174">
        <f t="shared" si="6"/>
        <v>30</v>
      </c>
      <c r="S174">
        <f t="shared" si="7"/>
        <v>18</v>
      </c>
      <c r="T174" s="11" t="str">
        <f t="shared" si="8"/>
        <v>60-69</v>
      </c>
    </row>
    <row r="175" spans="1:20" x14ac:dyDescent="0.35">
      <c r="A175" t="s">
        <v>184</v>
      </c>
      <c r="B175">
        <v>46</v>
      </c>
      <c r="C175" t="s">
        <v>12</v>
      </c>
      <c r="D175">
        <v>0</v>
      </c>
      <c r="E175">
        <v>0</v>
      </c>
      <c r="F175">
        <v>1</v>
      </c>
      <c r="G175">
        <v>0</v>
      </c>
      <c r="H175">
        <v>150</v>
      </c>
      <c r="I175">
        <v>94</v>
      </c>
      <c r="J175" t="s">
        <v>13</v>
      </c>
      <c r="K175" t="s">
        <v>3</v>
      </c>
      <c r="L175">
        <v>132</v>
      </c>
      <c r="M175">
        <v>84</v>
      </c>
      <c r="N175">
        <v>1</v>
      </c>
      <c r="O175">
        <v>1</v>
      </c>
      <c r="P175" s="1">
        <v>45560</v>
      </c>
      <c r="Q175" t="str">
        <f>IF(Hypertension_data[[#This Row],[BP_Controlled_After_3_Months]]=1,"Controlled","Not Controlled")</f>
        <v>Controlled</v>
      </c>
      <c r="R175">
        <f t="shared" si="6"/>
        <v>18</v>
      </c>
      <c r="S175">
        <f t="shared" si="7"/>
        <v>10</v>
      </c>
      <c r="T175" s="11" t="str">
        <f t="shared" si="8"/>
        <v>40-49</v>
      </c>
    </row>
    <row r="176" spans="1:20" x14ac:dyDescent="0.35">
      <c r="A176" t="s">
        <v>185</v>
      </c>
      <c r="B176">
        <v>32</v>
      </c>
      <c r="C176" t="s">
        <v>1</v>
      </c>
      <c r="D176">
        <v>1</v>
      </c>
      <c r="E176">
        <v>1</v>
      </c>
      <c r="F176">
        <v>0</v>
      </c>
      <c r="G176">
        <v>1</v>
      </c>
      <c r="H176">
        <v>180</v>
      </c>
      <c r="I176">
        <v>97</v>
      </c>
      <c r="J176" t="s">
        <v>2</v>
      </c>
      <c r="K176" t="s">
        <v>3</v>
      </c>
      <c r="L176">
        <v>177</v>
      </c>
      <c r="M176">
        <v>96</v>
      </c>
      <c r="N176">
        <v>0</v>
      </c>
      <c r="O176">
        <v>5</v>
      </c>
      <c r="P176" s="1">
        <v>45525</v>
      </c>
      <c r="Q176" t="str">
        <f>IF(Hypertension_data[[#This Row],[BP_Controlled_After_3_Months]]=1,"Controlled","Not Controlled")</f>
        <v>Not Controlled</v>
      </c>
      <c r="R176">
        <f t="shared" si="6"/>
        <v>3</v>
      </c>
      <c r="S176">
        <f t="shared" si="7"/>
        <v>1</v>
      </c>
      <c r="T176" s="11" t="str">
        <f t="shared" si="8"/>
        <v>30-39</v>
      </c>
    </row>
    <row r="177" spans="1:20" x14ac:dyDescent="0.35">
      <c r="A177" t="s">
        <v>186</v>
      </c>
      <c r="B177">
        <v>53</v>
      </c>
      <c r="C177" t="s">
        <v>1</v>
      </c>
      <c r="D177">
        <v>0</v>
      </c>
      <c r="E177">
        <v>0</v>
      </c>
      <c r="F177">
        <v>1</v>
      </c>
      <c r="G177">
        <v>1</v>
      </c>
      <c r="H177">
        <v>174</v>
      </c>
      <c r="I177">
        <v>107</v>
      </c>
      <c r="J177" t="s">
        <v>19</v>
      </c>
      <c r="K177" t="s">
        <v>15</v>
      </c>
      <c r="L177">
        <v>159</v>
      </c>
      <c r="M177">
        <v>98</v>
      </c>
      <c r="N177">
        <v>0</v>
      </c>
      <c r="O177">
        <v>5</v>
      </c>
      <c r="P177" s="1">
        <v>45438</v>
      </c>
      <c r="Q177" t="str">
        <f>IF(Hypertension_data[[#This Row],[BP_Controlled_After_3_Months]]=1,"Controlled","Not Controlled")</f>
        <v>Not Controlled</v>
      </c>
      <c r="R177">
        <f t="shared" si="6"/>
        <v>15</v>
      </c>
      <c r="S177">
        <f t="shared" si="7"/>
        <v>9</v>
      </c>
      <c r="T177" s="11" t="str">
        <f t="shared" si="8"/>
        <v>50-59</v>
      </c>
    </row>
    <row r="178" spans="1:20" x14ac:dyDescent="0.35">
      <c r="A178" t="s">
        <v>187</v>
      </c>
      <c r="B178">
        <v>31</v>
      </c>
      <c r="C178" t="s">
        <v>12</v>
      </c>
      <c r="D178">
        <v>1</v>
      </c>
      <c r="E178">
        <v>1</v>
      </c>
      <c r="F178">
        <v>1</v>
      </c>
      <c r="G178">
        <v>1</v>
      </c>
      <c r="H178">
        <v>155</v>
      </c>
      <c r="I178">
        <v>96</v>
      </c>
      <c r="J178" t="s">
        <v>5</v>
      </c>
      <c r="K178" t="s">
        <v>3</v>
      </c>
      <c r="L178">
        <v>151</v>
      </c>
      <c r="M178">
        <v>94</v>
      </c>
      <c r="N178">
        <v>0</v>
      </c>
      <c r="O178">
        <v>4</v>
      </c>
      <c r="P178" s="1">
        <v>45332</v>
      </c>
      <c r="Q178" t="str">
        <f>IF(Hypertension_data[[#This Row],[BP_Controlled_After_3_Months]]=1,"Controlled","Not Controlled")</f>
        <v>Not Controlled</v>
      </c>
      <c r="R178">
        <f t="shared" si="6"/>
        <v>4</v>
      </c>
      <c r="S178">
        <f t="shared" si="7"/>
        <v>2</v>
      </c>
      <c r="T178" s="11" t="str">
        <f t="shared" si="8"/>
        <v>30-39</v>
      </c>
    </row>
    <row r="179" spans="1:20" x14ac:dyDescent="0.35">
      <c r="A179" t="s">
        <v>188</v>
      </c>
      <c r="B179">
        <v>53</v>
      </c>
      <c r="C179" t="s">
        <v>12</v>
      </c>
      <c r="D179">
        <v>0</v>
      </c>
      <c r="E179">
        <v>1</v>
      </c>
      <c r="F179">
        <v>1</v>
      </c>
      <c r="G179">
        <v>0</v>
      </c>
      <c r="H179">
        <v>183</v>
      </c>
      <c r="I179">
        <v>116</v>
      </c>
      <c r="J179" t="s">
        <v>2</v>
      </c>
      <c r="K179" t="s">
        <v>3</v>
      </c>
      <c r="L179">
        <v>177</v>
      </c>
      <c r="M179">
        <v>113</v>
      </c>
      <c r="N179">
        <v>0</v>
      </c>
      <c r="O179">
        <v>4</v>
      </c>
      <c r="P179" s="1">
        <v>45485</v>
      </c>
      <c r="Q179" t="str">
        <f>IF(Hypertension_data[[#This Row],[BP_Controlled_After_3_Months]]=1,"Controlled","Not Controlled")</f>
        <v>Not Controlled</v>
      </c>
      <c r="R179">
        <f t="shared" si="6"/>
        <v>6</v>
      </c>
      <c r="S179">
        <f t="shared" si="7"/>
        <v>3</v>
      </c>
      <c r="T179" s="11" t="str">
        <f t="shared" si="8"/>
        <v>50-59</v>
      </c>
    </row>
    <row r="180" spans="1:20" x14ac:dyDescent="0.35">
      <c r="A180" t="s">
        <v>189</v>
      </c>
      <c r="B180">
        <v>65</v>
      </c>
      <c r="C180" t="s">
        <v>12</v>
      </c>
      <c r="D180">
        <v>1</v>
      </c>
      <c r="E180">
        <v>1</v>
      </c>
      <c r="F180">
        <v>1</v>
      </c>
      <c r="G180">
        <v>1</v>
      </c>
      <c r="H180">
        <v>171</v>
      </c>
      <c r="I180">
        <v>117</v>
      </c>
      <c r="J180" t="s">
        <v>19</v>
      </c>
      <c r="K180" t="s">
        <v>3</v>
      </c>
      <c r="L180">
        <v>170</v>
      </c>
      <c r="M180">
        <v>117</v>
      </c>
      <c r="N180">
        <v>0</v>
      </c>
      <c r="O180">
        <v>5</v>
      </c>
      <c r="P180" s="1">
        <v>45313</v>
      </c>
      <c r="Q180" t="str">
        <f>IF(Hypertension_data[[#This Row],[BP_Controlled_After_3_Months]]=1,"Controlled","Not Controlled")</f>
        <v>Not Controlled</v>
      </c>
      <c r="R180">
        <f t="shared" si="6"/>
        <v>1</v>
      </c>
      <c r="S180">
        <f t="shared" si="7"/>
        <v>0</v>
      </c>
      <c r="T180" s="11" t="str">
        <f t="shared" si="8"/>
        <v>60-69</v>
      </c>
    </row>
    <row r="181" spans="1:20" x14ac:dyDescent="0.35">
      <c r="A181" t="s">
        <v>190</v>
      </c>
      <c r="B181">
        <v>44</v>
      </c>
      <c r="C181" t="s">
        <v>1</v>
      </c>
      <c r="D181">
        <v>0</v>
      </c>
      <c r="E181">
        <v>0</v>
      </c>
      <c r="F181">
        <v>1</v>
      </c>
      <c r="G181">
        <v>1</v>
      </c>
      <c r="H181">
        <v>183</v>
      </c>
      <c r="I181">
        <v>119</v>
      </c>
      <c r="J181" t="s">
        <v>8</v>
      </c>
      <c r="K181" t="s">
        <v>3</v>
      </c>
      <c r="L181">
        <v>178</v>
      </c>
      <c r="M181">
        <v>116</v>
      </c>
      <c r="N181">
        <v>0</v>
      </c>
      <c r="O181">
        <v>1</v>
      </c>
      <c r="P181" s="1">
        <v>45398</v>
      </c>
      <c r="Q181" t="str">
        <f>IF(Hypertension_data[[#This Row],[BP_Controlled_After_3_Months]]=1,"Controlled","Not Controlled")</f>
        <v>Not Controlled</v>
      </c>
      <c r="R181">
        <f t="shared" si="6"/>
        <v>5</v>
      </c>
      <c r="S181">
        <f t="shared" si="7"/>
        <v>3</v>
      </c>
      <c r="T181" s="11" t="str">
        <f t="shared" si="8"/>
        <v>40-49</v>
      </c>
    </row>
    <row r="182" spans="1:20" x14ac:dyDescent="0.35">
      <c r="A182" t="s">
        <v>191</v>
      </c>
      <c r="B182">
        <v>67</v>
      </c>
      <c r="C182" t="s">
        <v>1</v>
      </c>
      <c r="D182">
        <v>0</v>
      </c>
      <c r="E182">
        <v>1</v>
      </c>
      <c r="F182">
        <v>0</v>
      </c>
      <c r="G182">
        <v>1</v>
      </c>
      <c r="H182">
        <v>176</v>
      </c>
      <c r="I182">
        <v>97</v>
      </c>
      <c r="J182" t="s">
        <v>5</v>
      </c>
      <c r="K182" t="s">
        <v>6</v>
      </c>
      <c r="L182">
        <v>162</v>
      </c>
      <c r="M182">
        <v>89</v>
      </c>
      <c r="N182">
        <v>0</v>
      </c>
      <c r="O182">
        <v>6</v>
      </c>
      <c r="P182" s="1">
        <v>45332</v>
      </c>
      <c r="Q182" t="str">
        <f>IF(Hypertension_data[[#This Row],[BP_Controlled_After_3_Months]]=1,"Controlled","Not Controlled")</f>
        <v>Not Controlled</v>
      </c>
      <c r="R182">
        <f t="shared" si="6"/>
        <v>14</v>
      </c>
      <c r="S182">
        <f t="shared" si="7"/>
        <v>8</v>
      </c>
      <c r="T182" s="11" t="str">
        <f t="shared" si="8"/>
        <v>60-69</v>
      </c>
    </row>
    <row r="183" spans="1:20" x14ac:dyDescent="0.35">
      <c r="A183" t="s">
        <v>192</v>
      </c>
      <c r="B183">
        <v>62</v>
      </c>
      <c r="C183" t="s">
        <v>12</v>
      </c>
      <c r="D183">
        <v>1</v>
      </c>
      <c r="E183">
        <v>1</v>
      </c>
      <c r="F183">
        <v>0</v>
      </c>
      <c r="G183">
        <v>1</v>
      </c>
      <c r="H183">
        <v>144</v>
      </c>
      <c r="I183">
        <v>100</v>
      </c>
      <c r="J183" t="s">
        <v>5</v>
      </c>
      <c r="K183" t="s">
        <v>3</v>
      </c>
      <c r="L183">
        <v>144</v>
      </c>
      <c r="M183">
        <v>100</v>
      </c>
      <c r="N183">
        <v>0</v>
      </c>
      <c r="O183">
        <v>6</v>
      </c>
      <c r="P183" s="1">
        <v>45431</v>
      </c>
      <c r="Q183" t="str">
        <f>IF(Hypertension_data[[#This Row],[BP_Controlled_After_3_Months]]=1,"Controlled","Not Controlled")</f>
        <v>Not Controlled</v>
      </c>
      <c r="R183">
        <f t="shared" si="6"/>
        <v>0</v>
      </c>
      <c r="S183">
        <f t="shared" si="7"/>
        <v>0</v>
      </c>
      <c r="T183" s="11" t="str">
        <f t="shared" si="8"/>
        <v>60-69</v>
      </c>
    </row>
    <row r="184" spans="1:20" x14ac:dyDescent="0.35">
      <c r="A184" t="s">
        <v>193</v>
      </c>
      <c r="B184">
        <v>80</v>
      </c>
      <c r="C184" t="s">
        <v>12</v>
      </c>
      <c r="D184">
        <v>0</v>
      </c>
      <c r="E184">
        <v>1</v>
      </c>
      <c r="F184">
        <v>0</v>
      </c>
      <c r="G184">
        <v>0</v>
      </c>
      <c r="H184">
        <v>167</v>
      </c>
      <c r="I184">
        <v>95</v>
      </c>
      <c r="J184" t="s">
        <v>13</v>
      </c>
      <c r="K184" t="s">
        <v>3</v>
      </c>
      <c r="L184">
        <v>151</v>
      </c>
      <c r="M184">
        <v>86</v>
      </c>
      <c r="N184">
        <v>0</v>
      </c>
      <c r="O184">
        <v>2</v>
      </c>
      <c r="P184" s="1">
        <v>45657</v>
      </c>
      <c r="Q184" t="str">
        <f>IF(Hypertension_data[[#This Row],[BP_Controlled_After_3_Months]]=1,"Controlled","Not Controlled")</f>
        <v>Not Controlled</v>
      </c>
      <c r="R184">
        <f t="shared" si="6"/>
        <v>16</v>
      </c>
      <c r="S184">
        <f t="shared" si="7"/>
        <v>9</v>
      </c>
      <c r="T184" s="11" t="str">
        <f t="shared" si="8"/>
        <v>70+</v>
      </c>
    </row>
    <row r="185" spans="1:20" x14ac:dyDescent="0.35">
      <c r="A185" t="s">
        <v>194</v>
      </c>
      <c r="B185">
        <v>34</v>
      </c>
      <c r="C185" t="s">
        <v>1</v>
      </c>
      <c r="D185">
        <v>0</v>
      </c>
      <c r="E185">
        <v>1</v>
      </c>
      <c r="F185">
        <v>0</v>
      </c>
      <c r="G185">
        <v>1</v>
      </c>
      <c r="H185">
        <v>187</v>
      </c>
      <c r="I185">
        <v>102</v>
      </c>
      <c r="J185" t="s">
        <v>8</v>
      </c>
      <c r="K185" t="s">
        <v>6</v>
      </c>
      <c r="L185">
        <v>178</v>
      </c>
      <c r="M185">
        <v>97</v>
      </c>
      <c r="N185">
        <v>0</v>
      </c>
      <c r="O185">
        <v>3</v>
      </c>
      <c r="P185" s="1">
        <v>45519</v>
      </c>
      <c r="Q185" t="str">
        <f>IF(Hypertension_data[[#This Row],[BP_Controlled_After_3_Months]]=1,"Controlled","Not Controlled")</f>
        <v>Not Controlled</v>
      </c>
      <c r="R185">
        <f t="shared" si="6"/>
        <v>9</v>
      </c>
      <c r="S185">
        <f t="shared" si="7"/>
        <v>5</v>
      </c>
      <c r="T185" s="11" t="str">
        <f t="shared" si="8"/>
        <v>30-39</v>
      </c>
    </row>
    <row r="186" spans="1:20" x14ac:dyDescent="0.35">
      <c r="A186" t="s">
        <v>195</v>
      </c>
      <c r="B186">
        <v>53</v>
      </c>
      <c r="C186" t="s">
        <v>12</v>
      </c>
      <c r="D186">
        <v>1</v>
      </c>
      <c r="E186">
        <v>1</v>
      </c>
      <c r="F186">
        <v>1</v>
      </c>
      <c r="G186">
        <v>1</v>
      </c>
      <c r="H186">
        <v>167</v>
      </c>
      <c r="I186">
        <v>104</v>
      </c>
      <c r="J186" t="s">
        <v>5</v>
      </c>
      <c r="K186" t="s">
        <v>3</v>
      </c>
      <c r="L186">
        <v>167</v>
      </c>
      <c r="M186">
        <v>104</v>
      </c>
      <c r="N186">
        <v>0</v>
      </c>
      <c r="O186">
        <v>1</v>
      </c>
      <c r="P186" s="1">
        <v>45473</v>
      </c>
      <c r="Q186" t="str">
        <f>IF(Hypertension_data[[#This Row],[BP_Controlled_After_3_Months]]=1,"Controlled","Not Controlled")</f>
        <v>Not Controlled</v>
      </c>
      <c r="R186">
        <f t="shared" si="6"/>
        <v>0</v>
      </c>
      <c r="S186">
        <f t="shared" si="7"/>
        <v>0</v>
      </c>
      <c r="T186" s="11" t="str">
        <f t="shared" si="8"/>
        <v>50-59</v>
      </c>
    </row>
    <row r="187" spans="1:20" x14ac:dyDescent="0.35">
      <c r="A187" t="s">
        <v>196</v>
      </c>
      <c r="B187">
        <v>65</v>
      </c>
      <c r="C187" t="s">
        <v>1</v>
      </c>
      <c r="D187">
        <v>0</v>
      </c>
      <c r="E187">
        <v>0</v>
      </c>
      <c r="F187">
        <v>1</v>
      </c>
      <c r="G187">
        <v>0</v>
      </c>
      <c r="H187">
        <v>166</v>
      </c>
      <c r="I187">
        <v>102</v>
      </c>
      <c r="J187" t="s">
        <v>2</v>
      </c>
      <c r="K187" t="s">
        <v>3</v>
      </c>
      <c r="L187">
        <v>158</v>
      </c>
      <c r="M187">
        <v>98</v>
      </c>
      <c r="N187">
        <v>0</v>
      </c>
      <c r="O187">
        <v>2</v>
      </c>
      <c r="P187" s="1">
        <v>45642</v>
      </c>
      <c r="Q187" t="str">
        <f>IF(Hypertension_data[[#This Row],[BP_Controlled_After_3_Months]]=1,"Controlled","Not Controlled")</f>
        <v>Not Controlled</v>
      </c>
      <c r="R187">
        <f t="shared" si="6"/>
        <v>8</v>
      </c>
      <c r="S187">
        <f t="shared" si="7"/>
        <v>4</v>
      </c>
      <c r="T187" s="11" t="str">
        <f t="shared" si="8"/>
        <v>60-69</v>
      </c>
    </row>
    <row r="188" spans="1:20" x14ac:dyDescent="0.35">
      <c r="A188" t="s">
        <v>197</v>
      </c>
      <c r="B188">
        <v>54</v>
      </c>
      <c r="C188" t="s">
        <v>1</v>
      </c>
      <c r="D188">
        <v>1</v>
      </c>
      <c r="E188">
        <v>0</v>
      </c>
      <c r="F188">
        <v>0</v>
      </c>
      <c r="G188">
        <v>0</v>
      </c>
      <c r="H188">
        <v>171</v>
      </c>
      <c r="I188">
        <v>94</v>
      </c>
      <c r="J188" t="s">
        <v>2</v>
      </c>
      <c r="K188" t="s">
        <v>15</v>
      </c>
      <c r="L188">
        <v>143</v>
      </c>
      <c r="M188">
        <v>78</v>
      </c>
      <c r="N188">
        <v>0</v>
      </c>
      <c r="O188">
        <v>3</v>
      </c>
      <c r="P188" s="1">
        <v>45539</v>
      </c>
      <c r="Q188" t="str">
        <f>IF(Hypertension_data[[#This Row],[BP_Controlled_After_3_Months]]=1,"Controlled","Not Controlled")</f>
        <v>Not Controlled</v>
      </c>
      <c r="R188">
        <f t="shared" si="6"/>
        <v>28</v>
      </c>
      <c r="S188">
        <f t="shared" si="7"/>
        <v>16</v>
      </c>
      <c r="T188" s="11" t="str">
        <f t="shared" si="8"/>
        <v>50-59</v>
      </c>
    </row>
    <row r="189" spans="1:20" x14ac:dyDescent="0.35">
      <c r="A189" t="s">
        <v>198</v>
      </c>
      <c r="B189">
        <v>80</v>
      </c>
      <c r="C189" t="s">
        <v>1</v>
      </c>
      <c r="D189">
        <v>0</v>
      </c>
      <c r="E189">
        <v>0</v>
      </c>
      <c r="F189">
        <v>1</v>
      </c>
      <c r="G189">
        <v>0</v>
      </c>
      <c r="H189">
        <v>178</v>
      </c>
      <c r="I189">
        <v>109</v>
      </c>
      <c r="J189" t="s">
        <v>10</v>
      </c>
      <c r="K189" t="s">
        <v>6</v>
      </c>
      <c r="L189">
        <v>168</v>
      </c>
      <c r="M189">
        <v>103</v>
      </c>
      <c r="N189">
        <v>0</v>
      </c>
      <c r="O189">
        <v>1</v>
      </c>
      <c r="P189" s="1">
        <v>45494</v>
      </c>
      <c r="Q189" t="str">
        <f>IF(Hypertension_data[[#This Row],[BP_Controlled_After_3_Months]]=1,"Controlled","Not Controlled")</f>
        <v>Not Controlled</v>
      </c>
      <c r="R189">
        <f t="shared" si="6"/>
        <v>10</v>
      </c>
      <c r="S189">
        <f t="shared" si="7"/>
        <v>6</v>
      </c>
      <c r="T189" s="11" t="str">
        <f t="shared" si="8"/>
        <v>70+</v>
      </c>
    </row>
    <row r="190" spans="1:20" x14ac:dyDescent="0.35">
      <c r="A190" t="s">
        <v>199</v>
      </c>
      <c r="B190">
        <v>51</v>
      </c>
      <c r="C190" t="s">
        <v>12</v>
      </c>
      <c r="D190">
        <v>0</v>
      </c>
      <c r="E190">
        <v>0</v>
      </c>
      <c r="F190">
        <v>0</v>
      </c>
      <c r="G190">
        <v>0</v>
      </c>
      <c r="H190">
        <v>181</v>
      </c>
      <c r="I190">
        <v>109</v>
      </c>
      <c r="J190" t="s">
        <v>10</v>
      </c>
      <c r="K190" t="s">
        <v>6</v>
      </c>
      <c r="L190">
        <v>164</v>
      </c>
      <c r="M190">
        <v>99</v>
      </c>
      <c r="N190">
        <v>0</v>
      </c>
      <c r="O190">
        <v>4</v>
      </c>
      <c r="P190" s="1">
        <v>45452</v>
      </c>
      <c r="Q190" t="str">
        <f>IF(Hypertension_data[[#This Row],[BP_Controlled_After_3_Months]]=1,"Controlled","Not Controlled")</f>
        <v>Not Controlled</v>
      </c>
      <c r="R190">
        <f t="shared" si="6"/>
        <v>17</v>
      </c>
      <c r="S190">
        <f t="shared" si="7"/>
        <v>10</v>
      </c>
      <c r="T190" s="11" t="str">
        <f t="shared" si="8"/>
        <v>50-59</v>
      </c>
    </row>
    <row r="191" spans="1:20" x14ac:dyDescent="0.35">
      <c r="A191" t="s">
        <v>200</v>
      </c>
      <c r="B191">
        <v>41</v>
      </c>
      <c r="C191" t="s">
        <v>12</v>
      </c>
      <c r="D191">
        <v>0</v>
      </c>
      <c r="E191">
        <v>0</v>
      </c>
      <c r="F191">
        <v>0</v>
      </c>
      <c r="G191">
        <v>1</v>
      </c>
      <c r="H191">
        <v>160</v>
      </c>
      <c r="I191">
        <v>102</v>
      </c>
      <c r="J191" t="s">
        <v>8</v>
      </c>
      <c r="K191" t="s">
        <v>6</v>
      </c>
      <c r="L191">
        <v>151</v>
      </c>
      <c r="M191">
        <v>97</v>
      </c>
      <c r="N191">
        <v>0</v>
      </c>
      <c r="O191">
        <v>2</v>
      </c>
      <c r="P191" s="1">
        <v>45595</v>
      </c>
      <c r="Q191" t="str">
        <f>IF(Hypertension_data[[#This Row],[BP_Controlled_After_3_Months]]=1,"Controlled","Not Controlled")</f>
        <v>Not Controlled</v>
      </c>
      <c r="R191">
        <f t="shared" si="6"/>
        <v>9</v>
      </c>
      <c r="S191">
        <f t="shared" si="7"/>
        <v>5</v>
      </c>
      <c r="T191" s="11" t="str">
        <f t="shared" si="8"/>
        <v>40-49</v>
      </c>
    </row>
    <row r="192" spans="1:20" x14ac:dyDescent="0.35">
      <c r="A192" t="s">
        <v>201</v>
      </c>
      <c r="B192">
        <v>64</v>
      </c>
      <c r="C192" t="s">
        <v>1</v>
      </c>
      <c r="D192">
        <v>1</v>
      </c>
      <c r="E192">
        <v>0</v>
      </c>
      <c r="F192">
        <v>1</v>
      </c>
      <c r="G192">
        <v>0</v>
      </c>
      <c r="H192">
        <v>158</v>
      </c>
      <c r="I192">
        <v>116</v>
      </c>
      <c r="J192" t="s">
        <v>13</v>
      </c>
      <c r="K192" t="s">
        <v>15</v>
      </c>
      <c r="L192">
        <v>124</v>
      </c>
      <c r="M192">
        <v>96</v>
      </c>
      <c r="N192">
        <v>0</v>
      </c>
      <c r="O192">
        <v>6</v>
      </c>
      <c r="P192" s="1">
        <v>45447</v>
      </c>
      <c r="Q192" t="str">
        <f>IF(Hypertension_data[[#This Row],[BP_Controlled_After_3_Months]]=1,"Controlled","Not Controlled")</f>
        <v>Not Controlled</v>
      </c>
      <c r="R192">
        <f t="shared" si="6"/>
        <v>34</v>
      </c>
      <c r="S192">
        <f t="shared" si="7"/>
        <v>20</v>
      </c>
      <c r="T192" s="11" t="str">
        <f t="shared" si="8"/>
        <v>60-69</v>
      </c>
    </row>
    <row r="193" spans="1:20" x14ac:dyDescent="0.35">
      <c r="A193" t="s">
        <v>202</v>
      </c>
      <c r="B193">
        <v>45</v>
      </c>
      <c r="C193" t="s">
        <v>12</v>
      </c>
      <c r="D193">
        <v>1</v>
      </c>
      <c r="E193">
        <v>0</v>
      </c>
      <c r="F193">
        <v>0</v>
      </c>
      <c r="G193">
        <v>1</v>
      </c>
      <c r="H193">
        <v>168</v>
      </c>
      <c r="I193">
        <v>109</v>
      </c>
      <c r="J193" t="s">
        <v>19</v>
      </c>
      <c r="K193" t="s">
        <v>3</v>
      </c>
      <c r="L193">
        <v>160</v>
      </c>
      <c r="M193">
        <v>105</v>
      </c>
      <c r="N193">
        <v>0</v>
      </c>
      <c r="O193">
        <v>6</v>
      </c>
      <c r="P193" s="1">
        <v>45506</v>
      </c>
      <c r="Q193" t="str">
        <f>IF(Hypertension_data[[#This Row],[BP_Controlled_After_3_Months]]=1,"Controlled","Not Controlled")</f>
        <v>Not Controlled</v>
      </c>
      <c r="R193">
        <f t="shared" si="6"/>
        <v>8</v>
      </c>
      <c r="S193">
        <f t="shared" si="7"/>
        <v>4</v>
      </c>
      <c r="T193" s="11" t="str">
        <f t="shared" si="8"/>
        <v>40-49</v>
      </c>
    </row>
    <row r="194" spans="1:20" x14ac:dyDescent="0.35">
      <c r="A194" t="s">
        <v>203</v>
      </c>
      <c r="B194">
        <v>64</v>
      </c>
      <c r="C194" t="s">
        <v>1</v>
      </c>
      <c r="D194">
        <v>0</v>
      </c>
      <c r="E194">
        <v>1</v>
      </c>
      <c r="F194">
        <v>1</v>
      </c>
      <c r="G194">
        <v>1</v>
      </c>
      <c r="H194">
        <v>182</v>
      </c>
      <c r="I194">
        <v>111</v>
      </c>
      <c r="J194" t="s">
        <v>8</v>
      </c>
      <c r="K194" t="s">
        <v>15</v>
      </c>
      <c r="L194">
        <v>166</v>
      </c>
      <c r="M194">
        <v>102</v>
      </c>
      <c r="N194">
        <v>0</v>
      </c>
      <c r="O194">
        <v>6</v>
      </c>
      <c r="P194" s="1">
        <v>45623</v>
      </c>
      <c r="Q194" t="str">
        <f>IF(Hypertension_data[[#This Row],[BP_Controlled_After_3_Months]]=1,"Controlled","Not Controlled")</f>
        <v>Not Controlled</v>
      </c>
      <c r="R194">
        <f t="shared" ref="R194:R257" si="9">H194-L194</f>
        <v>16</v>
      </c>
      <c r="S194">
        <f t="shared" ref="S194:S257" si="10">I194-M194</f>
        <v>9</v>
      </c>
      <c r="T194" s="11" t="str">
        <f t="shared" ref="T194:T257" si="11">IF(B194&lt;40,"30-39",
IF(B194&lt;50,"40-49",
IF(B194&lt;60,"50-59",
IF(B194&lt;70,"60-69",
"70+"))))</f>
        <v>60-69</v>
      </c>
    </row>
    <row r="195" spans="1:20" x14ac:dyDescent="0.35">
      <c r="A195" t="s">
        <v>204</v>
      </c>
      <c r="B195">
        <v>55</v>
      </c>
      <c r="C195" t="s">
        <v>12</v>
      </c>
      <c r="D195">
        <v>0</v>
      </c>
      <c r="E195">
        <v>1</v>
      </c>
      <c r="F195">
        <v>1</v>
      </c>
      <c r="G195">
        <v>1</v>
      </c>
      <c r="H195">
        <v>156</v>
      </c>
      <c r="I195">
        <v>97</v>
      </c>
      <c r="J195" t="s">
        <v>5</v>
      </c>
      <c r="K195" t="s">
        <v>3</v>
      </c>
      <c r="L195">
        <v>151</v>
      </c>
      <c r="M195">
        <v>94</v>
      </c>
      <c r="N195">
        <v>0</v>
      </c>
      <c r="O195">
        <v>4</v>
      </c>
      <c r="P195" s="1">
        <v>45529</v>
      </c>
      <c r="Q195" t="str">
        <f>IF(Hypertension_data[[#This Row],[BP_Controlled_After_3_Months]]=1,"Controlled","Not Controlled")</f>
        <v>Not Controlled</v>
      </c>
      <c r="R195">
        <f t="shared" si="9"/>
        <v>5</v>
      </c>
      <c r="S195">
        <f t="shared" si="10"/>
        <v>3</v>
      </c>
      <c r="T195" s="11" t="str">
        <f t="shared" si="11"/>
        <v>50-59</v>
      </c>
    </row>
    <row r="196" spans="1:20" x14ac:dyDescent="0.35">
      <c r="A196" t="s">
        <v>205</v>
      </c>
      <c r="B196">
        <v>79</v>
      </c>
      <c r="C196" t="s">
        <v>1</v>
      </c>
      <c r="D196">
        <v>0</v>
      </c>
      <c r="E196">
        <v>1</v>
      </c>
      <c r="F196">
        <v>0</v>
      </c>
      <c r="G196">
        <v>1</v>
      </c>
      <c r="H196">
        <v>158</v>
      </c>
      <c r="I196">
        <v>103</v>
      </c>
      <c r="J196" t="s">
        <v>2</v>
      </c>
      <c r="K196" t="s">
        <v>15</v>
      </c>
      <c r="L196">
        <v>139</v>
      </c>
      <c r="M196">
        <v>92</v>
      </c>
      <c r="N196">
        <v>0</v>
      </c>
      <c r="O196">
        <v>3</v>
      </c>
      <c r="P196" s="1">
        <v>45525</v>
      </c>
      <c r="Q196" t="str">
        <f>IF(Hypertension_data[[#This Row],[BP_Controlled_After_3_Months]]=1,"Controlled","Not Controlled")</f>
        <v>Not Controlled</v>
      </c>
      <c r="R196">
        <f t="shared" si="9"/>
        <v>19</v>
      </c>
      <c r="S196">
        <f t="shared" si="10"/>
        <v>11</v>
      </c>
      <c r="T196" s="11" t="str">
        <f t="shared" si="11"/>
        <v>70+</v>
      </c>
    </row>
    <row r="197" spans="1:20" x14ac:dyDescent="0.35">
      <c r="A197" t="s">
        <v>206</v>
      </c>
      <c r="B197">
        <v>80</v>
      </c>
      <c r="C197" t="s">
        <v>1</v>
      </c>
      <c r="D197">
        <v>0</v>
      </c>
      <c r="E197">
        <v>0</v>
      </c>
      <c r="F197">
        <v>0</v>
      </c>
      <c r="G197">
        <v>1</v>
      </c>
      <c r="H197">
        <v>168</v>
      </c>
      <c r="I197">
        <v>113</v>
      </c>
      <c r="J197" t="s">
        <v>13</v>
      </c>
      <c r="K197" t="s">
        <v>6</v>
      </c>
      <c r="L197">
        <v>154</v>
      </c>
      <c r="M197">
        <v>105</v>
      </c>
      <c r="N197">
        <v>0</v>
      </c>
      <c r="O197">
        <v>6</v>
      </c>
      <c r="P197" s="1">
        <v>45350</v>
      </c>
      <c r="Q197" t="str">
        <f>IF(Hypertension_data[[#This Row],[BP_Controlled_After_3_Months]]=1,"Controlled","Not Controlled")</f>
        <v>Not Controlled</v>
      </c>
      <c r="R197">
        <f t="shared" si="9"/>
        <v>14</v>
      </c>
      <c r="S197">
        <f t="shared" si="10"/>
        <v>8</v>
      </c>
      <c r="T197" s="11" t="str">
        <f t="shared" si="11"/>
        <v>70+</v>
      </c>
    </row>
    <row r="198" spans="1:20" x14ac:dyDescent="0.35">
      <c r="A198" t="s">
        <v>207</v>
      </c>
      <c r="B198">
        <v>31</v>
      </c>
      <c r="C198" t="s">
        <v>12</v>
      </c>
      <c r="D198">
        <v>1</v>
      </c>
      <c r="E198">
        <v>1</v>
      </c>
      <c r="F198">
        <v>1</v>
      </c>
      <c r="G198">
        <v>1</v>
      </c>
      <c r="H198">
        <v>175</v>
      </c>
      <c r="I198">
        <v>95</v>
      </c>
      <c r="J198" t="s">
        <v>8</v>
      </c>
      <c r="K198" t="s">
        <v>3</v>
      </c>
      <c r="L198">
        <v>172</v>
      </c>
      <c r="M198">
        <v>94</v>
      </c>
      <c r="N198">
        <v>0</v>
      </c>
      <c r="O198">
        <v>4</v>
      </c>
      <c r="P198" s="1">
        <v>45614</v>
      </c>
      <c r="Q198" t="str">
        <f>IF(Hypertension_data[[#This Row],[BP_Controlled_After_3_Months]]=1,"Controlled","Not Controlled")</f>
        <v>Not Controlled</v>
      </c>
      <c r="R198">
        <f t="shared" si="9"/>
        <v>3</v>
      </c>
      <c r="S198">
        <f t="shared" si="10"/>
        <v>1</v>
      </c>
      <c r="T198" s="11" t="str">
        <f t="shared" si="11"/>
        <v>30-39</v>
      </c>
    </row>
    <row r="199" spans="1:20" x14ac:dyDescent="0.35">
      <c r="A199" t="s">
        <v>208</v>
      </c>
      <c r="B199">
        <v>41</v>
      </c>
      <c r="C199" t="s">
        <v>1</v>
      </c>
      <c r="D199">
        <v>0</v>
      </c>
      <c r="E199">
        <v>0</v>
      </c>
      <c r="F199">
        <v>1</v>
      </c>
      <c r="G199">
        <v>1</v>
      </c>
      <c r="H199">
        <v>168</v>
      </c>
      <c r="I199">
        <v>108</v>
      </c>
      <c r="J199" t="s">
        <v>19</v>
      </c>
      <c r="K199" t="s">
        <v>6</v>
      </c>
      <c r="L199">
        <v>157</v>
      </c>
      <c r="M199">
        <v>102</v>
      </c>
      <c r="N199">
        <v>0</v>
      </c>
      <c r="O199">
        <v>3</v>
      </c>
      <c r="P199" s="1">
        <v>45652</v>
      </c>
      <c r="Q199" t="str">
        <f>IF(Hypertension_data[[#This Row],[BP_Controlled_After_3_Months]]=1,"Controlled","Not Controlled")</f>
        <v>Not Controlled</v>
      </c>
      <c r="R199">
        <f t="shared" si="9"/>
        <v>11</v>
      </c>
      <c r="S199">
        <f t="shared" si="10"/>
        <v>6</v>
      </c>
      <c r="T199" s="11" t="str">
        <f t="shared" si="11"/>
        <v>40-49</v>
      </c>
    </row>
    <row r="200" spans="1:20" x14ac:dyDescent="0.35">
      <c r="A200" t="s">
        <v>209</v>
      </c>
      <c r="B200">
        <v>81</v>
      </c>
      <c r="C200" t="s">
        <v>1</v>
      </c>
      <c r="D200">
        <v>1</v>
      </c>
      <c r="E200">
        <v>1</v>
      </c>
      <c r="F200">
        <v>0</v>
      </c>
      <c r="G200">
        <v>0</v>
      </c>
      <c r="H200">
        <v>152</v>
      </c>
      <c r="I200">
        <v>104</v>
      </c>
      <c r="J200" t="s">
        <v>2</v>
      </c>
      <c r="K200" t="s">
        <v>6</v>
      </c>
      <c r="L200">
        <v>136</v>
      </c>
      <c r="M200">
        <v>95</v>
      </c>
      <c r="N200">
        <v>0</v>
      </c>
      <c r="O200">
        <v>3</v>
      </c>
      <c r="P200" s="1">
        <v>45597</v>
      </c>
      <c r="Q200" t="str">
        <f>IF(Hypertension_data[[#This Row],[BP_Controlled_After_3_Months]]=1,"Controlled","Not Controlled")</f>
        <v>Not Controlled</v>
      </c>
      <c r="R200">
        <f t="shared" si="9"/>
        <v>16</v>
      </c>
      <c r="S200">
        <f t="shared" si="10"/>
        <v>9</v>
      </c>
      <c r="T200" s="11" t="str">
        <f t="shared" si="11"/>
        <v>70+</v>
      </c>
    </row>
    <row r="201" spans="1:20" x14ac:dyDescent="0.35">
      <c r="A201" t="s">
        <v>210</v>
      </c>
      <c r="B201">
        <v>54</v>
      </c>
      <c r="C201" t="s">
        <v>12</v>
      </c>
      <c r="D201">
        <v>1</v>
      </c>
      <c r="E201">
        <v>0</v>
      </c>
      <c r="F201">
        <v>0</v>
      </c>
      <c r="G201">
        <v>0</v>
      </c>
      <c r="H201">
        <v>179</v>
      </c>
      <c r="I201">
        <v>95</v>
      </c>
      <c r="J201" t="s">
        <v>13</v>
      </c>
      <c r="K201" t="s">
        <v>3</v>
      </c>
      <c r="L201">
        <v>165</v>
      </c>
      <c r="M201">
        <v>87</v>
      </c>
      <c r="N201">
        <v>0</v>
      </c>
      <c r="O201">
        <v>6</v>
      </c>
      <c r="P201" s="1">
        <v>45360</v>
      </c>
      <c r="Q201" t="str">
        <f>IF(Hypertension_data[[#This Row],[BP_Controlled_After_3_Months]]=1,"Controlled","Not Controlled")</f>
        <v>Not Controlled</v>
      </c>
      <c r="R201">
        <f t="shared" si="9"/>
        <v>14</v>
      </c>
      <c r="S201">
        <f t="shared" si="10"/>
        <v>8</v>
      </c>
      <c r="T201" s="11" t="str">
        <f t="shared" si="11"/>
        <v>50-59</v>
      </c>
    </row>
    <row r="202" spans="1:20" x14ac:dyDescent="0.35">
      <c r="A202" t="s">
        <v>211</v>
      </c>
      <c r="B202">
        <v>50</v>
      </c>
      <c r="C202" t="s">
        <v>1</v>
      </c>
      <c r="D202">
        <v>1</v>
      </c>
      <c r="E202">
        <v>0</v>
      </c>
      <c r="F202">
        <v>1</v>
      </c>
      <c r="G202">
        <v>1</v>
      </c>
      <c r="H202">
        <v>163</v>
      </c>
      <c r="I202">
        <v>112</v>
      </c>
      <c r="J202" t="s">
        <v>10</v>
      </c>
      <c r="K202" t="s">
        <v>3</v>
      </c>
      <c r="L202">
        <v>154</v>
      </c>
      <c r="M202">
        <v>107</v>
      </c>
      <c r="N202">
        <v>0</v>
      </c>
      <c r="O202">
        <v>2</v>
      </c>
      <c r="P202" s="1">
        <v>45586</v>
      </c>
      <c r="Q202" t="str">
        <f>IF(Hypertension_data[[#This Row],[BP_Controlled_After_3_Months]]=1,"Controlled","Not Controlled")</f>
        <v>Not Controlled</v>
      </c>
      <c r="R202">
        <f t="shared" si="9"/>
        <v>9</v>
      </c>
      <c r="S202">
        <f t="shared" si="10"/>
        <v>5</v>
      </c>
      <c r="T202" s="11" t="str">
        <f t="shared" si="11"/>
        <v>50-59</v>
      </c>
    </row>
    <row r="203" spans="1:20" x14ac:dyDescent="0.35">
      <c r="A203" t="s">
        <v>212</v>
      </c>
      <c r="B203">
        <v>54</v>
      </c>
      <c r="C203" t="s">
        <v>12</v>
      </c>
      <c r="D203">
        <v>1</v>
      </c>
      <c r="E203">
        <v>0</v>
      </c>
      <c r="F203">
        <v>1</v>
      </c>
      <c r="G203">
        <v>1</v>
      </c>
      <c r="H203">
        <v>171</v>
      </c>
      <c r="I203">
        <v>99</v>
      </c>
      <c r="J203" t="s">
        <v>10</v>
      </c>
      <c r="K203" t="s">
        <v>15</v>
      </c>
      <c r="L203">
        <v>146</v>
      </c>
      <c r="M203">
        <v>84</v>
      </c>
      <c r="N203">
        <v>0</v>
      </c>
      <c r="O203">
        <v>1</v>
      </c>
      <c r="P203" s="1">
        <v>45475</v>
      </c>
      <c r="Q203" t="str">
        <f>IF(Hypertension_data[[#This Row],[BP_Controlled_After_3_Months]]=1,"Controlled","Not Controlled")</f>
        <v>Not Controlled</v>
      </c>
      <c r="R203">
        <f t="shared" si="9"/>
        <v>25</v>
      </c>
      <c r="S203">
        <f t="shared" si="10"/>
        <v>15</v>
      </c>
      <c r="T203" s="11" t="str">
        <f t="shared" si="11"/>
        <v>50-59</v>
      </c>
    </row>
    <row r="204" spans="1:20" x14ac:dyDescent="0.35">
      <c r="A204" t="s">
        <v>213</v>
      </c>
      <c r="B204">
        <v>30</v>
      </c>
      <c r="C204" t="s">
        <v>12</v>
      </c>
      <c r="D204">
        <v>1</v>
      </c>
      <c r="E204">
        <v>1</v>
      </c>
      <c r="F204">
        <v>0</v>
      </c>
      <c r="G204">
        <v>0</v>
      </c>
      <c r="H204">
        <v>166</v>
      </c>
      <c r="I204">
        <v>111</v>
      </c>
      <c r="J204" t="s">
        <v>19</v>
      </c>
      <c r="K204" t="s">
        <v>6</v>
      </c>
      <c r="L204">
        <v>151</v>
      </c>
      <c r="M204">
        <v>102</v>
      </c>
      <c r="N204">
        <v>0</v>
      </c>
      <c r="O204">
        <v>1</v>
      </c>
      <c r="P204" s="1">
        <v>45581</v>
      </c>
      <c r="Q204" t="str">
        <f>IF(Hypertension_data[[#This Row],[BP_Controlled_After_3_Months]]=1,"Controlled","Not Controlled")</f>
        <v>Not Controlled</v>
      </c>
      <c r="R204">
        <f t="shared" si="9"/>
        <v>15</v>
      </c>
      <c r="S204">
        <f t="shared" si="10"/>
        <v>9</v>
      </c>
      <c r="T204" s="11" t="str">
        <f t="shared" si="11"/>
        <v>30-39</v>
      </c>
    </row>
    <row r="205" spans="1:20" x14ac:dyDescent="0.35">
      <c r="A205" t="s">
        <v>214</v>
      </c>
      <c r="B205">
        <v>31</v>
      </c>
      <c r="C205" t="s">
        <v>1</v>
      </c>
      <c r="D205">
        <v>0</v>
      </c>
      <c r="E205">
        <v>1</v>
      </c>
      <c r="F205">
        <v>0</v>
      </c>
      <c r="G205">
        <v>1</v>
      </c>
      <c r="H205">
        <v>174</v>
      </c>
      <c r="I205">
        <v>99</v>
      </c>
      <c r="J205" t="s">
        <v>10</v>
      </c>
      <c r="K205" t="s">
        <v>6</v>
      </c>
      <c r="L205">
        <v>158</v>
      </c>
      <c r="M205">
        <v>90</v>
      </c>
      <c r="N205">
        <v>0</v>
      </c>
      <c r="O205">
        <v>1</v>
      </c>
      <c r="P205" s="1">
        <v>45585</v>
      </c>
      <c r="Q205" t="str">
        <f>IF(Hypertension_data[[#This Row],[BP_Controlled_After_3_Months]]=1,"Controlled","Not Controlled")</f>
        <v>Not Controlled</v>
      </c>
      <c r="R205">
        <f t="shared" si="9"/>
        <v>16</v>
      </c>
      <c r="S205">
        <f t="shared" si="10"/>
        <v>9</v>
      </c>
      <c r="T205" s="11" t="str">
        <f t="shared" si="11"/>
        <v>30-39</v>
      </c>
    </row>
    <row r="206" spans="1:20" x14ac:dyDescent="0.35">
      <c r="A206" t="s">
        <v>215</v>
      </c>
      <c r="B206">
        <v>37</v>
      </c>
      <c r="C206" t="s">
        <v>12</v>
      </c>
      <c r="D206">
        <v>0</v>
      </c>
      <c r="E206">
        <v>1</v>
      </c>
      <c r="F206">
        <v>0</v>
      </c>
      <c r="G206">
        <v>1</v>
      </c>
      <c r="H206">
        <v>167</v>
      </c>
      <c r="I206">
        <v>93</v>
      </c>
      <c r="J206" t="s">
        <v>13</v>
      </c>
      <c r="K206" t="s">
        <v>3</v>
      </c>
      <c r="L206">
        <v>159</v>
      </c>
      <c r="M206">
        <v>89</v>
      </c>
      <c r="N206">
        <v>0</v>
      </c>
      <c r="O206">
        <v>3</v>
      </c>
      <c r="P206" s="1">
        <v>45470</v>
      </c>
      <c r="Q206" t="str">
        <f>IF(Hypertension_data[[#This Row],[BP_Controlled_After_3_Months]]=1,"Controlled","Not Controlled")</f>
        <v>Not Controlled</v>
      </c>
      <c r="R206">
        <f t="shared" si="9"/>
        <v>8</v>
      </c>
      <c r="S206">
        <f t="shared" si="10"/>
        <v>4</v>
      </c>
      <c r="T206" s="11" t="str">
        <f t="shared" si="11"/>
        <v>30-39</v>
      </c>
    </row>
    <row r="207" spans="1:20" x14ac:dyDescent="0.35">
      <c r="A207" t="s">
        <v>216</v>
      </c>
      <c r="B207">
        <v>85</v>
      </c>
      <c r="C207" t="s">
        <v>1</v>
      </c>
      <c r="D207">
        <v>0</v>
      </c>
      <c r="E207">
        <v>1</v>
      </c>
      <c r="F207">
        <v>1</v>
      </c>
      <c r="G207">
        <v>1</v>
      </c>
      <c r="H207">
        <v>187</v>
      </c>
      <c r="I207">
        <v>108</v>
      </c>
      <c r="J207" t="s">
        <v>13</v>
      </c>
      <c r="K207" t="s">
        <v>6</v>
      </c>
      <c r="L207">
        <v>171</v>
      </c>
      <c r="M207">
        <v>99</v>
      </c>
      <c r="N207">
        <v>0</v>
      </c>
      <c r="O207">
        <v>2</v>
      </c>
      <c r="P207" s="1">
        <v>45397</v>
      </c>
      <c r="Q207" t="str">
        <f>IF(Hypertension_data[[#This Row],[BP_Controlled_After_3_Months]]=1,"Controlled","Not Controlled")</f>
        <v>Not Controlled</v>
      </c>
      <c r="R207">
        <f t="shared" si="9"/>
        <v>16</v>
      </c>
      <c r="S207">
        <f t="shared" si="10"/>
        <v>9</v>
      </c>
      <c r="T207" s="11" t="str">
        <f t="shared" si="11"/>
        <v>70+</v>
      </c>
    </row>
    <row r="208" spans="1:20" x14ac:dyDescent="0.35">
      <c r="A208" t="s">
        <v>217</v>
      </c>
      <c r="B208">
        <v>81</v>
      </c>
      <c r="C208" t="s">
        <v>1</v>
      </c>
      <c r="D208">
        <v>0</v>
      </c>
      <c r="E208">
        <v>0</v>
      </c>
      <c r="F208">
        <v>1</v>
      </c>
      <c r="G208">
        <v>0</v>
      </c>
      <c r="H208">
        <v>185</v>
      </c>
      <c r="I208">
        <v>99</v>
      </c>
      <c r="J208" t="s">
        <v>8</v>
      </c>
      <c r="K208" t="s">
        <v>3</v>
      </c>
      <c r="L208">
        <v>175</v>
      </c>
      <c r="M208">
        <v>93</v>
      </c>
      <c r="N208">
        <v>0</v>
      </c>
      <c r="O208">
        <v>1</v>
      </c>
      <c r="P208" s="1">
        <v>45361</v>
      </c>
      <c r="Q208" t="str">
        <f>IF(Hypertension_data[[#This Row],[BP_Controlled_After_3_Months]]=1,"Controlled","Not Controlled")</f>
        <v>Not Controlled</v>
      </c>
      <c r="R208">
        <f t="shared" si="9"/>
        <v>10</v>
      </c>
      <c r="S208">
        <f t="shared" si="10"/>
        <v>6</v>
      </c>
      <c r="T208" s="11" t="str">
        <f t="shared" si="11"/>
        <v>70+</v>
      </c>
    </row>
    <row r="209" spans="1:20" x14ac:dyDescent="0.35">
      <c r="A209" t="s">
        <v>218</v>
      </c>
      <c r="B209">
        <v>78</v>
      </c>
      <c r="C209" t="s">
        <v>12</v>
      </c>
      <c r="D209">
        <v>1</v>
      </c>
      <c r="E209">
        <v>0</v>
      </c>
      <c r="F209">
        <v>1</v>
      </c>
      <c r="G209">
        <v>1</v>
      </c>
      <c r="H209">
        <v>155</v>
      </c>
      <c r="I209">
        <v>94</v>
      </c>
      <c r="J209" t="s">
        <v>13</v>
      </c>
      <c r="K209" t="s">
        <v>6</v>
      </c>
      <c r="L209">
        <v>129</v>
      </c>
      <c r="M209">
        <v>79</v>
      </c>
      <c r="N209">
        <v>1</v>
      </c>
      <c r="O209">
        <v>2</v>
      </c>
      <c r="P209" s="1">
        <v>45587</v>
      </c>
      <c r="Q209" t="str">
        <f>IF(Hypertension_data[[#This Row],[BP_Controlled_After_3_Months]]=1,"Controlled","Not Controlled")</f>
        <v>Controlled</v>
      </c>
      <c r="R209">
        <f t="shared" si="9"/>
        <v>26</v>
      </c>
      <c r="S209">
        <f t="shared" si="10"/>
        <v>15</v>
      </c>
      <c r="T209" s="11" t="str">
        <f t="shared" si="11"/>
        <v>70+</v>
      </c>
    </row>
    <row r="210" spans="1:20" x14ac:dyDescent="0.35">
      <c r="A210" t="s">
        <v>219</v>
      </c>
      <c r="B210">
        <v>70</v>
      </c>
      <c r="C210" t="s">
        <v>12</v>
      </c>
      <c r="D210">
        <v>0</v>
      </c>
      <c r="E210">
        <v>0</v>
      </c>
      <c r="F210">
        <v>0</v>
      </c>
      <c r="G210">
        <v>1</v>
      </c>
      <c r="H210">
        <v>180</v>
      </c>
      <c r="I210">
        <v>115</v>
      </c>
      <c r="J210" t="s">
        <v>2</v>
      </c>
      <c r="K210" t="s">
        <v>6</v>
      </c>
      <c r="L210">
        <v>167</v>
      </c>
      <c r="M210">
        <v>108</v>
      </c>
      <c r="N210">
        <v>0</v>
      </c>
      <c r="O210">
        <v>4</v>
      </c>
      <c r="P210" s="1">
        <v>45459</v>
      </c>
      <c r="Q210" t="str">
        <f>IF(Hypertension_data[[#This Row],[BP_Controlled_After_3_Months]]=1,"Controlled","Not Controlled")</f>
        <v>Not Controlled</v>
      </c>
      <c r="R210">
        <f t="shared" si="9"/>
        <v>13</v>
      </c>
      <c r="S210">
        <f t="shared" si="10"/>
        <v>7</v>
      </c>
      <c r="T210" s="11" t="str">
        <f t="shared" si="11"/>
        <v>70+</v>
      </c>
    </row>
    <row r="211" spans="1:20" x14ac:dyDescent="0.35">
      <c r="A211" t="s">
        <v>220</v>
      </c>
      <c r="B211">
        <v>67</v>
      </c>
      <c r="C211" t="s">
        <v>1</v>
      </c>
      <c r="D211">
        <v>1</v>
      </c>
      <c r="E211">
        <v>0</v>
      </c>
      <c r="F211">
        <v>0</v>
      </c>
      <c r="G211">
        <v>1</v>
      </c>
      <c r="H211">
        <v>190</v>
      </c>
      <c r="I211">
        <v>107</v>
      </c>
      <c r="J211" t="s">
        <v>19</v>
      </c>
      <c r="K211" t="s">
        <v>15</v>
      </c>
      <c r="L211">
        <v>162</v>
      </c>
      <c r="M211">
        <v>91</v>
      </c>
      <c r="N211">
        <v>0</v>
      </c>
      <c r="O211">
        <v>3</v>
      </c>
      <c r="P211" s="1">
        <v>45457</v>
      </c>
      <c r="Q211" t="str">
        <f>IF(Hypertension_data[[#This Row],[BP_Controlled_After_3_Months]]=1,"Controlled","Not Controlled")</f>
        <v>Not Controlled</v>
      </c>
      <c r="R211">
        <f t="shared" si="9"/>
        <v>28</v>
      </c>
      <c r="S211">
        <f t="shared" si="10"/>
        <v>16</v>
      </c>
      <c r="T211" s="11" t="str">
        <f t="shared" si="11"/>
        <v>60-69</v>
      </c>
    </row>
    <row r="212" spans="1:20" x14ac:dyDescent="0.35">
      <c r="A212" t="s">
        <v>221</v>
      </c>
      <c r="B212">
        <v>83</v>
      </c>
      <c r="C212" t="s">
        <v>12</v>
      </c>
      <c r="D212">
        <v>0</v>
      </c>
      <c r="E212">
        <v>1</v>
      </c>
      <c r="F212">
        <v>0</v>
      </c>
      <c r="G212">
        <v>0</v>
      </c>
      <c r="H212">
        <v>183</v>
      </c>
      <c r="I212">
        <v>114</v>
      </c>
      <c r="J212" t="s">
        <v>2</v>
      </c>
      <c r="K212" t="s">
        <v>15</v>
      </c>
      <c r="L212">
        <v>165</v>
      </c>
      <c r="M212">
        <v>104</v>
      </c>
      <c r="N212">
        <v>0</v>
      </c>
      <c r="O212">
        <v>1</v>
      </c>
      <c r="P212" s="1">
        <v>45355</v>
      </c>
      <c r="Q212" t="str">
        <f>IF(Hypertension_data[[#This Row],[BP_Controlled_After_3_Months]]=1,"Controlled","Not Controlled")</f>
        <v>Not Controlled</v>
      </c>
      <c r="R212">
        <f t="shared" si="9"/>
        <v>18</v>
      </c>
      <c r="S212">
        <f t="shared" si="10"/>
        <v>10</v>
      </c>
      <c r="T212" s="11" t="str">
        <f t="shared" si="11"/>
        <v>70+</v>
      </c>
    </row>
    <row r="213" spans="1:20" x14ac:dyDescent="0.35">
      <c r="A213" t="s">
        <v>222</v>
      </c>
      <c r="B213">
        <v>84</v>
      </c>
      <c r="C213" t="s">
        <v>1</v>
      </c>
      <c r="D213">
        <v>0</v>
      </c>
      <c r="E213">
        <v>0</v>
      </c>
      <c r="F213">
        <v>1</v>
      </c>
      <c r="G213">
        <v>0</v>
      </c>
      <c r="H213">
        <v>152</v>
      </c>
      <c r="I213">
        <v>112</v>
      </c>
      <c r="J213" t="s">
        <v>10</v>
      </c>
      <c r="K213" t="s">
        <v>3</v>
      </c>
      <c r="L213">
        <v>148</v>
      </c>
      <c r="M213">
        <v>110</v>
      </c>
      <c r="N213">
        <v>0</v>
      </c>
      <c r="O213">
        <v>1</v>
      </c>
      <c r="P213" s="1">
        <v>45627</v>
      </c>
      <c r="Q213" t="str">
        <f>IF(Hypertension_data[[#This Row],[BP_Controlled_After_3_Months]]=1,"Controlled","Not Controlled")</f>
        <v>Not Controlled</v>
      </c>
      <c r="R213">
        <f t="shared" si="9"/>
        <v>4</v>
      </c>
      <c r="S213">
        <f t="shared" si="10"/>
        <v>2</v>
      </c>
      <c r="T213" s="11" t="str">
        <f t="shared" si="11"/>
        <v>70+</v>
      </c>
    </row>
    <row r="214" spans="1:20" x14ac:dyDescent="0.35">
      <c r="A214" t="s">
        <v>223</v>
      </c>
      <c r="B214">
        <v>53</v>
      </c>
      <c r="C214" t="s">
        <v>12</v>
      </c>
      <c r="D214">
        <v>1</v>
      </c>
      <c r="E214">
        <v>0</v>
      </c>
      <c r="F214">
        <v>1</v>
      </c>
      <c r="G214">
        <v>1</v>
      </c>
      <c r="H214">
        <v>165</v>
      </c>
      <c r="I214">
        <v>110</v>
      </c>
      <c r="J214" t="s">
        <v>8</v>
      </c>
      <c r="K214" t="s">
        <v>3</v>
      </c>
      <c r="L214">
        <v>155</v>
      </c>
      <c r="M214">
        <v>104</v>
      </c>
      <c r="N214">
        <v>0</v>
      </c>
      <c r="O214">
        <v>1</v>
      </c>
      <c r="P214" s="1">
        <v>45652</v>
      </c>
      <c r="Q214" t="str">
        <f>IF(Hypertension_data[[#This Row],[BP_Controlled_After_3_Months]]=1,"Controlled","Not Controlled")</f>
        <v>Not Controlled</v>
      </c>
      <c r="R214">
        <f t="shared" si="9"/>
        <v>10</v>
      </c>
      <c r="S214">
        <f t="shared" si="10"/>
        <v>6</v>
      </c>
      <c r="T214" s="11" t="str">
        <f t="shared" si="11"/>
        <v>50-59</v>
      </c>
    </row>
    <row r="215" spans="1:20" x14ac:dyDescent="0.35">
      <c r="A215" t="s">
        <v>224</v>
      </c>
      <c r="B215">
        <v>36</v>
      </c>
      <c r="C215" t="s">
        <v>1</v>
      </c>
      <c r="D215">
        <v>1</v>
      </c>
      <c r="E215">
        <v>0</v>
      </c>
      <c r="F215">
        <v>1</v>
      </c>
      <c r="G215">
        <v>1</v>
      </c>
      <c r="H215">
        <v>177</v>
      </c>
      <c r="I215">
        <v>97</v>
      </c>
      <c r="J215" t="s">
        <v>5</v>
      </c>
      <c r="K215" t="s">
        <v>3</v>
      </c>
      <c r="L215">
        <v>177</v>
      </c>
      <c r="M215">
        <v>97</v>
      </c>
      <c r="N215">
        <v>0</v>
      </c>
      <c r="O215">
        <v>6</v>
      </c>
      <c r="P215" s="1">
        <v>45467</v>
      </c>
      <c r="Q215" t="str">
        <f>IF(Hypertension_data[[#This Row],[BP_Controlled_After_3_Months]]=1,"Controlled","Not Controlled")</f>
        <v>Not Controlled</v>
      </c>
      <c r="R215">
        <f t="shared" si="9"/>
        <v>0</v>
      </c>
      <c r="S215">
        <f t="shared" si="10"/>
        <v>0</v>
      </c>
      <c r="T215" s="11" t="str">
        <f t="shared" si="11"/>
        <v>30-39</v>
      </c>
    </row>
    <row r="216" spans="1:20" x14ac:dyDescent="0.35">
      <c r="A216" t="s">
        <v>225</v>
      </c>
      <c r="B216">
        <v>82</v>
      </c>
      <c r="C216" t="s">
        <v>1</v>
      </c>
      <c r="D216">
        <v>0</v>
      </c>
      <c r="E216">
        <v>1</v>
      </c>
      <c r="F216">
        <v>0</v>
      </c>
      <c r="G216">
        <v>1</v>
      </c>
      <c r="H216">
        <v>154</v>
      </c>
      <c r="I216">
        <v>102</v>
      </c>
      <c r="J216" t="s">
        <v>2</v>
      </c>
      <c r="K216" t="s">
        <v>3</v>
      </c>
      <c r="L216">
        <v>149</v>
      </c>
      <c r="M216">
        <v>99</v>
      </c>
      <c r="N216">
        <v>0</v>
      </c>
      <c r="O216">
        <v>3</v>
      </c>
      <c r="P216" s="1">
        <v>45445</v>
      </c>
      <c r="Q216" t="str">
        <f>IF(Hypertension_data[[#This Row],[BP_Controlled_After_3_Months]]=1,"Controlled","Not Controlled")</f>
        <v>Not Controlled</v>
      </c>
      <c r="R216">
        <f t="shared" si="9"/>
        <v>5</v>
      </c>
      <c r="S216">
        <f t="shared" si="10"/>
        <v>3</v>
      </c>
      <c r="T216" s="11" t="str">
        <f t="shared" si="11"/>
        <v>70+</v>
      </c>
    </row>
    <row r="217" spans="1:20" x14ac:dyDescent="0.35">
      <c r="A217" t="s">
        <v>226</v>
      </c>
      <c r="B217">
        <v>38</v>
      </c>
      <c r="C217" t="s">
        <v>12</v>
      </c>
      <c r="D217">
        <v>1</v>
      </c>
      <c r="E217">
        <v>1</v>
      </c>
      <c r="F217">
        <v>1</v>
      </c>
      <c r="G217">
        <v>1</v>
      </c>
      <c r="H217">
        <v>179</v>
      </c>
      <c r="I217">
        <v>110</v>
      </c>
      <c r="J217" t="s">
        <v>10</v>
      </c>
      <c r="K217" t="s">
        <v>6</v>
      </c>
      <c r="L217">
        <v>168</v>
      </c>
      <c r="M217">
        <v>104</v>
      </c>
      <c r="N217">
        <v>0</v>
      </c>
      <c r="O217">
        <v>6</v>
      </c>
      <c r="P217" s="1">
        <v>45369</v>
      </c>
      <c r="Q217" t="str">
        <f>IF(Hypertension_data[[#This Row],[BP_Controlled_After_3_Months]]=1,"Controlled","Not Controlled")</f>
        <v>Not Controlled</v>
      </c>
      <c r="R217">
        <f t="shared" si="9"/>
        <v>11</v>
      </c>
      <c r="S217">
        <f t="shared" si="10"/>
        <v>6</v>
      </c>
      <c r="T217" s="11" t="str">
        <f t="shared" si="11"/>
        <v>30-39</v>
      </c>
    </row>
    <row r="218" spans="1:20" x14ac:dyDescent="0.35">
      <c r="A218" t="s">
        <v>227</v>
      </c>
      <c r="B218">
        <v>56</v>
      </c>
      <c r="C218" t="s">
        <v>12</v>
      </c>
      <c r="D218">
        <v>1</v>
      </c>
      <c r="E218">
        <v>1</v>
      </c>
      <c r="F218">
        <v>1</v>
      </c>
      <c r="G218">
        <v>1</v>
      </c>
      <c r="H218">
        <v>188</v>
      </c>
      <c r="I218">
        <v>93</v>
      </c>
      <c r="J218" t="s">
        <v>5</v>
      </c>
      <c r="K218" t="s">
        <v>3</v>
      </c>
      <c r="L218">
        <v>182</v>
      </c>
      <c r="M218">
        <v>90</v>
      </c>
      <c r="N218">
        <v>0</v>
      </c>
      <c r="O218">
        <v>3</v>
      </c>
      <c r="P218" s="1">
        <v>45363</v>
      </c>
      <c r="Q218" t="str">
        <f>IF(Hypertension_data[[#This Row],[BP_Controlled_After_3_Months]]=1,"Controlled","Not Controlled")</f>
        <v>Not Controlled</v>
      </c>
      <c r="R218">
        <f t="shared" si="9"/>
        <v>6</v>
      </c>
      <c r="S218">
        <f t="shared" si="10"/>
        <v>3</v>
      </c>
      <c r="T218" s="11" t="str">
        <f t="shared" si="11"/>
        <v>50-59</v>
      </c>
    </row>
    <row r="219" spans="1:20" x14ac:dyDescent="0.35">
      <c r="A219" t="s">
        <v>228</v>
      </c>
      <c r="B219">
        <v>45</v>
      </c>
      <c r="C219" t="s">
        <v>12</v>
      </c>
      <c r="D219">
        <v>1</v>
      </c>
      <c r="E219">
        <v>1</v>
      </c>
      <c r="F219">
        <v>0</v>
      </c>
      <c r="G219">
        <v>1</v>
      </c>
      <c r="H219">
        <v>182</v>
      </c>
      <c r="I219">
        <v>118</v>
      </c>
      <c r="J219" t="s">
        <v>8</v>
      </c>
      <c r="K219" t="s">
        <v>15</v>
      </c>
      <c r="L219">
        <v>161</v>
      </c>
      <c r="M219">
        <v>106</v>
      </c>
      <c r="N219">
        <v>0</v>
      </c>
      <c r="O219">
        <v>6</v>
      </c>
      <c r="P219" s="1">
        <v>45319</v>
      </c>
      <c r="Q219" t="str">
        <f>IF(Hypertension_data[[#This Row],[BP_Controlled_After_3_Months]]=1,"Controlled","Not Controlled")</f>
        <v>Not Controlled</v>
      </c>
      <c r="R219">
        <f t="shared" si="9"/>
        <v>21</v>
      </c>
      <c r="S219">
        <f t="shared" si="10"/>
        <v>12</v>
      </c>
      <c r="T219" s="11" t="str">
        <f t="shared" si="11"/>
        <v>40-49</v>
      </c>
    </row>
    <row r="220" spans="1:20" x14ac:dyDescent="0.35">
      <c r="A220" t="s">
        <v>229</v>
      </c>
      <c r="B220">
        <v>80</v>
      </c>
      <c r="C220" t="s">
        <v>1</v>
      </c>
      <c r="D220">
        <v>0</v>
      </c>
      <c r="E220">
        <v>0</v>
      </c>
      <c r="F220">
        <v>1</v>
      </c>
      <c r="G220">
        <v>1</v>
      </c>
      <c r="H220">
        <v>171</v>
      </c>
      <c r="I220">
        <v>110</v>
      </c>
      <c r="J220" t="s">
        <v>5</v>
      </c>
      <c r="K220" t="s">
        <v>15</v>
      </c>
      <c r="L220">
        <v>156</v>
      </c>
      <c r="M220">
        <v>101</v>
      </c>
      <c r="N220">
        <v>0</v>
      </c>
      <c r="O220">
        <v>2</v>
      </c>
      <c r="P220" s="1">
        <v>45490</v>
      </c>
      <c r="Q220" t="str">
        <f>IF(Hypertension_data[[#This Row],[BP_Controlled_After_3_Months]]=1,"Controlled","Not Controlled")</f>
        <v>Not Controlled</v>
      </c>
      <c r="R220">
        <f t="shared" si="9"/>
        <v>15</v>
      </c>
      <c r="S220">
        <f t="shared" si="10"/>
        <v>9</v>
      </c>
      <c r="T220" s="11" t="str">
        <f t="shared" si="11"/>
        <v>70+</v>
      </c>
    </row>
    <row r="221" spans="1:20" x14ac:dyDescent="0.35">
      <c r="A221" t="s">
        <v>230</v>
      </c>
      <c r="B221">
        <v>85</v>
      </c>
      <c r="C221" t="s">
        <v>12</v>
      </c>
      <c r="D221">
        <v>0</v>
      </c>
      <c r="E221">
        <v>1</v>
      </c>
      <c r="F221">
        <v>0</v>
      </c>
      <c r="G221">
        <v>1</v>
      </c>
      <c r="H221">
        <v>141</v>
      </c>
      <c r="I221">
        <v>108</v>
      </c>
      <c r="J221" t="s">
        <v>2</v>
      </c>
      <c r="K221" t="s">
        <v>15</v>
      </c>
      <c r="L221">
        <v>118</v>
      </c>
      <c r="M221">
        <v>95</v>
      </c>
      <c r="N221">
        <v>0</v>
      </c>
      <c r="O221">
        <v>1</v>
      </c>
      <c r="P221" s="1">
        <v>45495</v>
      </c>
      <c r="Q221" t="str">
        <f>IF(Hypertension_data[[#This Row],[BP_Controlled_After_3_Months]]=1,"Controlled","Not Controlled")</f>
        <v>Not Controlled</v>
      </c>
      <c r="R221">
        <f t="shared" si="9"/>
        <v>23</v>
      </c>
      <c r="S221">
        <f t="shared" si="10"/>
        <v>13</v>
      </c>
      <c r="T221" s="11" t="str">
        <f t="shared" si="11"/>
        <v>70+</v>
      </c>
    </row>
    <row r="222" spans="1:20" x14ac:dyDescent="0.35">
      <c r="A222" t="s">
        <v>231</v>
      </c>
      <c r="B222">
        <v>62</v>
      </c>
      <c r="C222" t="s">
        <v>12</v>
      </c>
      <c r="D222">
        <v>0</v>
      </c>
      <c r="E222">
        <v>0</v>
      </c>
      <c r="F222">
        <v>0</v>
      </c>
      <c r="G222">
        <v>1</v>
      </c>
      <c r="H222">
        <v>180</v>
      </c>
      <c r="I222">
        <v>107</v>
      </c>
      <c r="J222" t="s">
        <v>5</v>
      </c>
      <c r="K222" t="s">
        <v>3</v>
      </c>
      <c r="L222">
        <v>179</v>
      </c>
      <c r="M222">
        <v>107</v>
      </c>
      <c r="N222">
        <v>0</v>
      </c>
      <c r="O222">
        <v>3</v>
      </c>
      <c r="P222" s="1">
        <v>45332</v>
      </c>
      <c r="Q222" t="str">
        <f>IF(Hypertension_data[[#This Row],[BP_Controlled_After_3_Months]]=1,"Controlled","Not Controlled")</f>
        <v>Not Controlled</v>
      </c>
      <c r="R222">
        <f t="shared" si="9"/>
        <v>1</v>
      </c>
      <c r="S222">
        <f t="shared" si="10"/>
        <v>0</v>
      </c>
      <c r="T222" s="11" t="str">
        <f t="shared" si="11"/>
        <v>60-69</v>
      </c>
    </row>
    <row r="223" spans="1:20" x14ac:dyDescent="0.35">
      <c r="A223" t="s">
        <v>232</v>
      </c>
      <c r="B223">
        <v>62</v>
      </c>
      <c r="C223" t="s">
        <v>1</v>
      </c>
      <c r="D223">
        <v>1</v>
      </c>
      <c r="E223">
        <v>0</v>
      </c>
      <c r="F223">
        <v>0</v>
      </c>
      <c r="G223">
        <v>1</v>
      </c>
      <c r="H223">
        <v>159</v>
      </c>
      <c r="I223">
        <v>112</v>
      </c>
      <c r="J223" t="s">
        <v>19</v>
      </c>
      <c r="K223" t="s">
        <v>3</v>
      </c>
      <c r="L223">
        <v>156</v>
      </c>
      <c r="M223">
        <v>111</v>
      </c>
      <c r="N223">
        <v>0</v>
      </c>
      <c r="O223">
        <v>1</v>
      </c>
      <c r="P223" s="1">
        <v>45514</v>
      </c>
      <c r="Q223" t="str">
        <f>IF(Hypertension_data[[#This Row],[BP_Controlled_After_3_Months]]=1,"Controlled","Not Controlled")</f>
        <v>Not Controlled</v>
      </c>
      <c r="R223">
        <f t="shared" si="9"/>
        <v>3</v>
      </c>
      <c r="S223">
        <f t="shared" si="10"/>
        <v>1</v>
      </c>
      <c r="T223" s="11" t="str">
        <f t="shared" si="11"/>
        <v>60-69</v>
      </c>
    </row>
    <row r="224" spans="1:20" x14ac:dyDescent="0.35">
      <c r="A224" t="s">
        <v>233</v>
      </c>
      <c r="B224">
        <v>37</v>
      </c>
      <c r="C224" t="s">
        <v>12</v>
      </c>
      <c r="D224">
        <v>1</v>
      </c>
      <c r="E224">
        <v>0</v>
      </c>
      <c r="F224">
        <v>1</v>
      </c>
      <c r="G224">
        <v>1</v>
      </c>
      <c r="H224">
        <v>140</v>
      </c>
      <c r="I224">
        <v>112</v>
      </c>
      <c r="J224" t="s">
        <v>10</v>
      </c>
      <c r="K224" t="s">
        <v>3</v>
      </c>
      <c r="L224">
        <v>133</v>
      </c>
      <c r="M224">
        <v>108</v>
      </c>
      <c r="N224">
        <v>0</v>
      </c>
      <c r="O224">
        <v>3</v>
      </c>
      <c r="P224" s="1">
        <v>45559</v>
      </c>
      <c r="Q224" t="str">
        <f>IF(Hypertension_data[[#This Row],[BP_Controlled_After_3_Months]]=1,"Controlled","Not Controlled")</f>
        <v>Not Controlled</v>
      </c>
      <c r="R224">
        <f t="shared" si="9"/>
        <v>7</v>
      </c>
      <c r="S224">
        <f t="shared" si="10"/>
        <v>4</v>
      </c>
      <c r="T224" s="11" t="str">
        <f t="shared" si="11"/>
        <v>30-39</v>
      </c>
    </row>
    <row r="225" spans="1:20" x14ac:dyDescent="0.35">
      <c r="A225" t="s">
        <v>234</v>
      </c>
      <c r="B225">
        <v>63</v>
      </c>
      <c r="C225" t="s">
        <v>12</v>
      </c>
      <c r="D225">
        <v>1</v>
      </c>
      <c r="E225">
        <v>0</v>
      </c>
      <c r="F225">
        <v>1</v>
      </c>
      <c r="G225">
        <v>0</v>
      </c>
      <c r="H225">
        <v>186</v>
      </c>
      <c r="I225">
        <v>118</v>
      </c>
      <c r="J225" t="s">
        <v>2</v>
      </c>
      <c r="K225" t="s">
        <v>15</v>
      </c>
      <c r="L225">
        <v>161</v>
      </c>
      <c r="M225">
        <v>103</v>
      </c>
      <c r="N225">
        <v>0</v>
      </c>
      <c r="O225">
        <v>5</v>
      </c>
      <c r="P225" s="1">
        <v>45324</v>
      </c>
      <c r="Q225" t="str">
        <f>IF(Hypertension_data[[#This Row],[BP_Controlled_After_3_Months]]=1,"Controlled","Not Controlled")</f>
        <v>Not Controlled</v>
      </c>
      <c r="R225">
        <f t="shared" si="9"/>
        <v>25</v>
      </c>
      <c r="S225">
        <f t="shared" si="10"/>
        <v>15</v>
      </c>
      <c r="T225" s="11" t="str">
        <f t="shared" si="11"/>
        <v>60-69</v>
      </c>
    </row>
    <row r="226" spans="1:20" x14ac:dyDescent="0.35">
      <c r="A226" t="s">
        <v>235</v>
      </c>
      <c r="B226">
        <v>46</v>
      </c>
      <c r="C226" t="s">
        <v>1</v>
      </c>
      <c r="D226">
        <v>0</v>
      </c>
      <c r="E226">
        <v>0</v>
      </c>
      <c r="F226">
        <v>0</v>
      </c>
      <c r="G226">
        <v>1</v>
      </c>
      <c r="H226">
        <v>171</v>
      </c>
      <c r="I226">
        <v>117</v>
      </c>
      <c r="J226" t="s">
        <v>5</v>
      </c>
      <c r="K226" t="s">
        <v>15</v>
      </c>
      <c r="L226">
        <v>145</v>
      </c>
      <c r="M226">
        <v>102</v>
      </c>
      <c r="N226">
        <v>0</v>
      </c>
      <c r="O226">
        <v>1</v>
      </c>
      <c r="P226" s="1">
        <v>45585</v>
      </c>
      <c r="Q226" t="str">
        <f>IF(Hypertension_data[[#This Row],[BP_Controlled_After_3_Months]]=1,"Controlled","Not Controlled")</f>
        <v>Not Controlled</v>
      </c>
      <c r="R226">
        <f t="shared" si="9"/>
        <v>26</v>
      </c>
      <c r="S226">
        <f t="shared" si="10"/>
        <v>15</v>
      </c>
      <c r="T226" s="11" t="str">
        <f t="shared" si="11"/>
        <v>40-49</v>
      </c>
    </row>
    <row r="227" spans="1:20" x14ac:dyDescent="0.35">
      <c r="A227" t="s">
        <v>236</v>
      </c>
      <c r="B227">
        <v>73</v>
      </c>
      <c r="C227" t="s">
        <v>1</v>
      </c>
      <c r="D227">
        <v>1</v>
      </c>
      <c r="E227">
        <v>1</v>
      </c>
      <c r="F227">
        <v>1</v>
      </c>
      <c r="G227">
        <v>1</v>
      </c>
      <c r="H227">
        <v>155</v>
      </c>
      <c r="I227">
        <v>91</v>
      </c>
      <c r="J227" t="s">
        <v>19</v>
      </c>
      <c r="K227" t="s">
        <v>6</v>
      </c>
      <c r="L227">
        <v>145</v>
      </c>
      <c r="M227">
        <v>85</v>
      </c>
      <c r="N227">
        <v>0</v>
      </c>
      <c r="O227">
        <v>1</v>
      </c>
      <c r="P227" s="1">
        <v>45575</v>
      </c>
      <c r="Q227" t="str">
        <f>IF(Hypertension_data[[#This Row],[BP_Controlled_After_3_Months]]=1,"Controlled","Not Controlled")</f>
        <v>Not Controlled</v>
      </c>
      <c r="R227">
        <f t="shared" si="9"/>
        <v>10</v>
      </c>
      <c r="S227">
        <f t="shared" si="10"/>
        <v>6</v>
      </c>
      <c r="T227" s="11" t="str">
        <f t="shared" si="11"/>
        <v>70+</v>
      </c>
    </row>
    <row r="228" spans="1:20" x14ac:dyDescent="0.35">
      <c r="A228" t="s">
        <v>237</v>
      </c>
      <c r="B228">
        <v>81</v>
      </c>
      <c r="C228" t="s">
        <v>12</v>
      </c>
      <c r="D228">
        <v>1</v>
      </c>
      <c r="E228">
        <v>0</v>
      </c>
      <c r="F228">
        <v>1</v>
      </c>
      <c r="G228">
        <v>0</v>
      </c>
      <c r="H228">
        <v>186</v>
      </c>
      <c r="I228">
        <v>100</v>
      </c>
      <c r="J228" t="s">
        <v>8</v>
      </c>
      <c r="K228" t="s">
        <v>15</v>
      </c>
      <c r="L228">
        <v>160</v>
      </c>
      <c r="M228">
        <v>85</v>
      </c>
      <c r="N228">
        <v>0</v>
      </c>
      <c r="O228">
        <v>6</v>
      </c>
      <c r="P228" s="1">
        <v>45318</v>
      </c>
      <c r="Q228" t="str">
        <f>IF(Hypertension_data[[#This Row],[BP_Controlled_After_3_Months]]=1,"Controlled","Not Controlled")</f>
        <v>Not Controlled</v>
      </c>
      <c r="R228">
        <f t="shared" si="9"/>
        <v>26</v>
      </c>
      <c r="S228">
        <f t="shared" si="10"/>
        <v>15</v>
      </c>
      <c r="T228" s="11" t="str">
        <f t="shared" si="11"/>
        <v>70+</v>
      </c>
    </row>
    <row r="229" spans="1:20" x14ac:dyDescent="0.35">
      <c r="A229" t="s">
        <v>238</v>
      </c>
      <c r="B229">
        <v>41</v>
      </c>
      <c r="C229" t="s">
        <v>1</v>
      </c>
      <c r="D229">
        <v>1</v>
      </c>
      <c r="E229">
        <v>0</v>
      </c>
      <c r="F229">
        <v>1</v>
      </c>
      <c r="G229">
        <v>0</v>
      </c>
      <c r="H229">
        <v>158</v>
      </c>
      <c r="I229">
        <v>114</v>
      </c>
      <c r="J229" t="s">
        <v>8</v>
      </c>
      <c r="K229" t="s">
        <v>6</v>
      </c>
      <c r="L229">
        <v>142</v>
      </c>
      <c r="M229">
        <v>105</v>
      </c>
      <c r="N229">
        <v>0</v>
      </c>
      <c r="O229">
        <v>1</v>
      </c>
      <c r="P229" s="1">
        <v>45480</v>
      </c>
      <c r="Q229" t="str">
        <f>IF(Hypertension_data[[#This Row],[BP_Controlled_After_3_Months]]=1,"Controlled","Not Controlled")</f>
        <v>Not Controlled</v>
      </c>
      <c r="R229">
        <f t="shared" si="9"/>
        <v>16</v>
      </c>
      <c r="S229">
        <f t="shared" si="10"/>
        <v>9</v>
      </c>
      <c r="T229" s="11" t="str">
        <f t="shared" si="11"/>
        <v>40-49</v>
      </c>
    </row>
    <row r="230" spans="1:20" x14ac:dyDescent="0.35">
      <c r="A230" t="s">
        <v>239</v>
      </c>
      <c r="B230">
        <v>42</v>
      </c>
      <c r="C230" t="s">
        <v>12</v>
      </c>
      <c r="D230">
        <v>0</v>
      </c>
      <c r="E230">
        <v>1</v>
      </c>
      <c r="F230">
        <v>0</v>
      </c>
      <c r="G230">
        <v>0</v>
      </c>
      <c r="H230">
        <v>177</v>
      </c>
      <c r="I230">
        <v>105</v>
      </c>
      <c r="J230" t="s">
        <v>10</v>
      </c>
      <c r="K230" t="s">
        <v>3</v>
      </c>
      <c r="L230">
        <v>177</v>
      </c>
      <c r="M230">
        <v>105</v>
      </c>
      <c r="N230">
        <v>0</v>
      </c>
      <c r="O230">
        <v>4</v>
      </c>
      <c r="P230" s="1">
        <v>45304</v>
      </c>
      <c r="Q230" t="str">
        <f>IF(Hypertension_data[[#This Row],[BP_Controlled_After_3_Months]]=1,"Controlled","Not Controlled")</f>
        <v>Not Controlled</v>
      </c>
      <c r="R230">
        <f t="shared" si="9"/>
        <v>0</v>
      </c>
      <c r="S230">
        <f t="shared" si="10"/>
        <v>0</v>
      </c>
      <c r="T230" s="11" t="str">
        <f t="shared" si="11"/>
        <v>40-49</v>
      </c>
    </row>
    <row r="231" spans="1:20" x14ac:dyDescent="0.35">
      <c r="A231" t="s">
        <v>240</v>
      </c>
      <c r="B231">
        <v>44</v>
      </c>
      <c r="C231" t="s">
        <v>12</v>
      </c>
      <c r="D231">
        <v>1</v>
      </c>
      <c r="E231">
        <v>0</v>
      </c>
      <c r="F231">
        <v>1</v>
      </c>
      <c r="G231">
        <v>0</v>
      </c>
      <c r="H231">
        <v>187</v>
      </c>
      <c r="I231">
        <v>113</v>
      </c>
      <c r="J231" t="s">
        <v>8</v>
      </c>
      <c r="K231" t="s">
        <v>15</v>
      </c>
      <c r="L231">
        <v>166</v>
      </c>
      <c r="M231">
        <v>101</v>
      </c>
      <c r="N231">
        <v>0</v>
      </c>
      <c r="O231">
        <v>4</v>
      </c>
      <c r="P231" s="1">
        <v>45543</v>
      </c>
      <c r="Q231" t="str">
        <f>IF(Hypertension_data[[#This Row],[BP_Controlled_After_3_Months]]=1,"Controlled","Not Controlled")</f>
        <v>Not Controlled</v>
      </c>
      <c r="R231">
        <f t="shared" si="9"/>
        <v>21</v>
      </c>
      <c r="S231">
        <f t="shared" si="10"/>
        <v>12</v>
      </c>
      <c r="T231" s="11" t="str">
        <f t="shared" si="11"/>
        <v>40-49</v>
      </c>
    </row>
    <row r="232" spans="1:20" x14ac:dyDescent="0.35">
      <c r="A232" t="s">
        <v>241</v>
      </c>
      <c r="B232">
        <v>33</v>
      </c>
      <c r="C232" t="s">
        <v>1</v>
      </c>
      <c r="D232">
        <v>0</v>
      </c>
      <c r="E232">
        <v>1</v>
      </c>
      <c r="F232">
        <v>1</v>
      </c>
      <c r="G232">
        <v>1</v>
      </c>
      <c r="H232">
        <v>173</v>
      </c>
      <c r="I232">
        <v>103</v>
      </c>
      <c r="J232" t="s">
        <v>13</v>
      </c>
      <c r="K232" t="s">
        <v>6</v>
      </c>
      <c r="L232">
        <v>159</v>
      </c>
      <c r="M232">
        <v>95</v>
      </c>
      <c r="N232">
        <v>0</v>
      </c>
      <c r="O232">
        <v>5</v>
      </c>
      <c r="P232" s="1">
        <v>45360</v>
      </c>
      <c r="Q232" t="str">
        <f>IF(Hypertension_data[[#This Row],[BP_Controlled_After_3_Months]]=1,"Controlled","Not Controlled")</f>
        <v>Not Controlled</v>
      </c>
      <c r="R232">
        <f t="shared" si="9"/>
        <v>14</v>
      </c>
      <c r="S232">
        <f t="shared" si="10"/>
        <v>8</v>
      </c>
      <c r="T232" s="11" t="str">
        <f t="shared" si="11"/>
        <v>30-39</v>
      </c>
    </row>
    <row r="233" spans="1:20" x14ac:dyDescent="0.35">
      <c r="A233" t="s">
        <v>242</v>
      </c>
      <c r="B233">
        <v>70</v>
      </c>
      <c r="C233" t="s">
        <v>12</v>
      </c>
      <c r="D233">
        <v>1</v>
      </c>
      <c r="E233">
        <v>1</v>
      </c>
      <c r="F233">
        <v>0</v>
      </c>
      <c r="G233">
        <v>1</v>
      </c>
      <c r="H233">
        <v>155</v>
      </c>
      <c r="I233">
        <v>99</v>
      </c>
      <c r="J233" t="s">
        <v>8</v>
      </c>
      <c r="K233" t="s">
        <v>6</v>
      </c>
      <c r="L233">
        <v>142</v>
      </c>
      <c r="M233">
        <v>92</v>
      </c>
      <c r="N233">
        <v>0</v>
      </c>
      <c r="O233">
        <v>4</v>
      </c>
      <c r="P233" s="1">
        <v>45431</v>
      </c>
      <c r="Q233" t="str">
        <f>IF(Hypertension_data[[#This Row],[BP_Controlled_After_3_Months]]=1,"Controlled","Not Controlled")</f>
        <v>Not Controlled</v>
      </c>
      <c r="R233">
        <f t="shared" si="9"/>
        <v>13</v>
      </c>
      <c r="S233">
        <f t="shared" si="10"/>
        <v>7</v>
      </c>
      <c r="T233" s="11" t="str">
        <f t="shared" si="11"/>
        <v>70+</v>
      </c>
    </row>
    <row r="234" spans="1:20" x14ac:dyDescent="0.35">
      <c r="A234" t="s">
        <v>243</v>
      </c>
      <c r="B234">
        <v>44</v>
      </c>
      <c r="C234" t="s">
        <v>1</v>
      </c>
      <c r="D234">
        <v>1</v>
      </c>
      <c r="E234">
        <v>1</v>
      </c>
      <c r="F234">
        <v>1</v>
      </c>
      <c r="G234">
        <v>1</v>
      </c>
      <c r="H234">
        <v>146</v>
      </c>
      <c r="I234">
        <v>95</v>
      </c>
      <c r="J234" t="s">
        <v>19</v>
      </c>
      <c r="K234" t="s">
        <v>6</v>
      </c>
      <c r="L234">
        <v>132</v>
      </c>
      <c r="M234">
        <v>87</v>
      </c>
      <c r="N234">
        <v>1</v>
      </c>
      <c r="O234">
        <v>5</v>
      </c>
      <c r="P234" s="1">
        <v>45475</v>
      </c>
      <c r="Q234" t="str">
        <f>IF(Hypertension_data[[#This Row],[BP_Controlled_After_3_Months]]=1,"Controlled","Not Controlled")</f>
        <v>Controlled</v>
      </c>
      <c r="R234">
        <f t="shared" si="9"/>
        <v>14</v>
      </c>
      <c r="S234">
        <f t="shared" si="10"/>
        <v>8</v>
      </c>
      <c r="T234" s="11" t="str">
        <f t="shared" si="11"/>
        <v>40-49</v>
      </c>
    </row>
    <row r="235" spans="1:20" x14ac:dyDescent="0.35">
      <c r="A235" t="s">
        <v>244</v>
      </c>
      <c r="B235">
        <v>79</v>
      </c>
      <c r="C235" t="s">
        <v>1</v>
      </c>
      <c r="D235">
        <v>0</v>
      </c>
      <c r="E235">
        <v>0</v>
      </c>
      <c r="F235">
        <v>0</v>
      </c>
      <c r="G235">
        <v>0</v>
      </c>
      <c r="H235">
        <v>147</v>
      </c>
      <c r="I235">
        <v>92</v>
      </c>
      <c r="J235" t="s">
        <v>10</v>
      </c>
      <c r="K235" t="s">
        <v>3</v>
      </c>
      <c r="L235">
        <v>147</v>
      </c>
      <c r="M235">
        <v>92</v>
      </c>
      <c r="N235">
        <v>0</v>
      </c>
      <c r="O235">
        <v>2</v>
      </c>
      <c r="P235" s="1">
        <v>45459</v>
      </c>
      <c r="Q235" t="str">
        <f>IF(Hypertension_data[[#This Row],[BP_Controlled_After_3_Months]]=1,"Controlled","Not Controlled")</f>
        <v>Not Controlled</v>
      </c>
      <c r="R235">
        <f t="shared" si="9"/>
        <v>0</v>
      </c>
      <c r="S235">
        <f t="shared" si="10"/>
        <v>0</v>
      </c>
      <c r="T235" s="11" t="str">
        <f t="shared" si="11"/>
        <v>70+</v>
      </c>
    </row>
    <row r="236" spans="1:20" x14ac:dyDescent="0.35">
      <c r="A236" t="s">
        <v>245</v>
      </c>
      <c r="B236">
        <v>39</v>
      </c>
      <c r="C236" t="s">
        <v>1</v>
      </c>
      <c r="D236">
        <v>1</v>
      </c>
      <c r="E236">
        <v>0</v>
      </c>
      <c r="F236">
        <v>0</v>
      </c>
      <c r="G236">
        <v>1</v>
      </c>
      <c r="H236">
        <v>183</v>
      </c>
      <c r="I236">
        <v>99</v>
      </c>
      <c r="J236" t="s">
        <v>8</v>
      </c>
      <c r="K236" t="s">
        <v>15</v>
      </c>
      <c r="L236">
        <v>168</v>
      </c>
      <c r="M236">
        <v>90</v>
      </c>
      <c r="N236">
        <v>0</v>
      </c>
      <c r="O236">
        <v>5</v>
      </c>
      <c r="P236" s="1">
        <v>45573</v>
      </c>
      <c r="Q236" t="str">
        <f>IF(Hypertension_data[[#This Row],[BP_Controlled_After_3_Months]]=1,"Controlled","Not Controlled")</f>
        <v>Not Controlled</v>
      </c>
      <c r="R236">
        <f t="shared" si="9"/>
        <v>15</v>
      </c>
      <c r="S236">
        <f t="shared" si="10"/>
        <v>9</v>
      </c>
      <c r="T236" s="11" t="str">
        <f t="shared" si="11"/>
        <v>30-39</v>
      </c>
    </row>
    <row r="237" spans="1:20" x14ac:dyDescent="0.35">
      <c r="A237" t="s">
        <v>246</v>
      </c>
      <c r="B237">
        <v>45</v>
      </c>
      <c r="C237" t="s">
        <v>1</v>
      </c>
      <c r="D237">
        <v>0</v>
      </c>
      <c r="E237">
        <v>1</v>
      </c>
      <c r="F237">
        <v>1</v>
      </c>
      <c r="G237">
        <v>1</v>
      </c>
      <c r="H237">
        <v>140</v>
      </c>
      <c r="I237">
        <v>91</v>
      </c>
      <c r="J237" t="s">
        <v>10</v>
      </c>
      <c r="K237" t="s">
        <v>15</v>
      </c>
      <c r="L237">
        <v>119</v>
      </c>
      <c r="M237">
        <v>79</v>
      </c>
      <c r="N237">
        <v>1</v>
      </c>
      <c r="O237">
        <v>6</v>
      </c>
      <c r="P237" s="1">
        <v>45614</v>
      </c>
      <c r="Q237" t="str">
        <f>IF(Hypertension_data[[#This Row],[BP_Controlled_After_3_Months]]=1,"Controlled","Not Controlled")</f>
        <v>Controlled</v>
      </c>
      <c r="R237">
        <f t="shared" si="9"/>
        <v>21</v>
      </c>
      <c r="S237">
        <f t="shared" si="10"/>
        <v>12</v>
      </c>
      <c r="T237" s="11" t="str">
        <f t="shared" si="11"/>
        <v>40-49</v>
      </c>
    </row>
    <row r="238" spans="1:20" x14ac:dyDescent="0.35">
      <c r="A238" t="s">
        <v>247</v>
      </c>
      <c r="B238">
        <v>71</v>
      </c>
      <c r="C238" t="s">
        <v>1</v>
      </c>
      <c r="D238">
        <v>0</v>
      </c>
      <c r="E238">
        <v>1</v>
      </c>
      <c r="F238">
        <v>1</v>
      </c>
      <c r="G238">
        <v>1</v>
      </c>
      <c r="H238">
        <v>152</v>
      </c>
      <c r="I238">
        <v>118</v>
      </c>
      <c r="J238" t="s">
        <v>13</v>
      </c>
      <c r="K238" t="s">
        <v>6</v>
      </c>
      <c r="L238">
        <v>138</v>
      </c>
      <c r="M238">
        <v>110</v>
      </c>
      <c r="N238">
        <v>0</v>
      </c>
      <c r="O238">
        <v>1</v>
      </c>
      <c r="P238" s="1">
        <v>45528</v>
      </c>
      <c r="Q238" t="str">
        <f>IF(Hypertension_data[[#This Row],[BP_Controlled_After_3_Months]]=1,"Controlled","Not Controlled")</f>
        <v>Not Controlled</v>
      </c>
      <c r="R238">
        <f t="shared" si="9"/>
        <v>14</v>
      </c>
      <c r="S238">
        <f t="shared" si="10"/>
        <v>8</v>
      </c>
      <c r="T238" s="11" t="str">
        <f t="shared" si="11"/>
        <v>70+</v>
      </c>
    </row>
    <row r="239" spans="1:20" x14ac:dyDescent="0.35">
      <c r="A239" t="s">
        <v>248</v>
      </c>
      <c r="B239">
        <v>33</v>
      </c>
      <c r="C239" t="s">
        <v>1</v>
      </c>
      <c r="D239">
        <v>0</v>
      </c>
      <c r="E239">
        <v>0</v>
      </c>
      <c r="F239">
        <v>0</v>
      </c>
      <c r="G239">
        <v>1</v>
      </c>
      <c r="H239">
        <v>164</v>
      </c>
      <c r="I239">
        <v>111</v>
      </c>
      <c r="J239" t="s">
        <v>19</v>
      </c>
      <c r="K239" t="s">
        <v>15</v>
      </c>
      <c r="L239">
        <v>138</v>
      </c>
      <c r="M239">
        <v>96</v>
      </c>
      <c r="N239">
        <v>0</v>
      </c>
      <c r="O239">
        <v>3</v>
      </c>
      <c r="P239" s="1">
        <v>45435</v>
      </c>
      <c r="Q239" t="str">
        <f>IF(Hypertension_data[[#This Row],[BP_Controlled_After_3_Months]]=1,"Controlled","Not Controlled")</f>
        <v>Not Controlled</v>
      </c>
      <c r="R239">
        <f t="shared" si="9"/>
        <v>26</v>
      </c>
      <c r="S239">
        <f t="shared" si="10"/>
        <v>15</v>
      </c>
      <c r="T239" s="11" t="str">
        <f t="shared" si="11"/>
        <v>30-39</v>
      </c>
    </row>
    <row r="240" spans="1:20" x14ac:dyDescent="0.35">
      <c r="A240" t="s">
        <v>249</v>
      </c>
      <c r="B240">
        <v>58</v>
      </c>
      <c r="C240" t="s">
        <v>1</v>
      </c>
      <c r="D240">
        <v>1</v>
      </c>
      <c r="E240">
        <v>1</v>
      </c>
      <c r="F240">
        <v>0</v>
      </c>
      <c r="G240">
        <v>0</v>
      </c>
      <c r="H240">
        <v>166</v>
      </c>
      <c r="I240">
        <v>118</v>
      </c>
      <c r="J240" t="s">
        <v>5</v>
      </c>
      <c r="K240" t="s">
        <v>6</v>
      </c>
      <c r="L240">
        <v>157</v>
      </c>
      <c r="M240">
        <v>113</v>
      </c>
      <c r="N240">
        <v>0</v>
      </c>
      <c r="O240">
        <v>4</v>
      </c>
      <c r="P240" s="1">
        <v>45362</v>
      </c>
      <c r="Q240" t="str">
        <f>IF(Hypertension_data[[#This Row],[BP_Controlled_After_3_Months]]=1,"Controlled","Not Controlled")</f>
        <v>Not Controlled</v>
      </c>
      <c r="R240">
        <f t="shared" si="9"/>
        <v>9</v>
      </c>
      <c r="S240">
        <f t="shared" si="10"/>
        <v>5</v>
      </c>
      <c r="T240" s="11" t="str">
        <f t="shared" si="11"/>
        <v>50-59</v>
      </c>
    </row>
    <row r="241" spans="1:20" x14ac:dyDescent="0.35">
      <c r="A241" t="s">
        <v>250</v>
      </c>
      <c r="B241">
        <v>56</v>
      </c>
      <c r="C241" t="s">
        <v>1</v>
      </c>
      <c r="D241">
        <v>1</v>
      </c>
      <c r="E241">
        <v>1</v>
      </c>
      <c r="F241">
        <v>0</v>
      </c>
      <c r="G241">
        <v>0</v>
      </c>
      <c r="H241">
        <v>170</v>
      </c>
      <c r="I241">
        <v>107</v>
      </c>
      <c r="J241" t="s">
        <v>19</v>
      </c>
      <c r="K241" t="s">
        <v>6</v>
      </c>
      <c r="L241">
        <v>156</v>
      </c>
      <c r="M241">
        <v>99</v>
      </c>
      <c r="N241">
        <v>0</v>
      </c>
      <c r="O241">
        <v>2</v>
      </c>
      <c r="P241" s="1">
        <v>45305</v>
      </c>
      <c r="Q241" t="str">
        <f>IF(Hypertension_data[[#This Row],[BP_Controlled_After_3_Months]]=1,"Controlled","Not Controlled")</f>
        <v>Not Controlled</v>
      </c>
      <c r="R241">
        <f t="shared" si="9"/>
        <v>14</v>
      </c>
      <c r="S241">
        <f t="shared" si="10"/>
        <v>8</v>
      </c>
      <c r="T241" s="11" t="str">
        <f t="shared" si="11"/>
        <v>50-59</v>
      </c>
    </row>
    <row r="242" spans="1:20" x14ac:dyDescent="0.35">
      <c r="A242" t="s">
        <v>251</v>
      </c>
      <c r="B242">
        <v>50</v>
      </c>
      <c r="C242" t="s">
        <v>1</v>
      </c>
      <c r="D242">
        <v>1</v>
      </c>
      <c r="E242">
        <v>0</v>
      </c>
      <c r="F242">
        <v>1</v>
      </c>
      <c r="G242">
        <v>0</v>
      </c>
      <c r="H242">
        <v>173</v>
      </c>
      <c r="I242">
        <v>101</v>
      </c>
      <c r="J242" t="s">
        <v>5</v>
      </c>
      <c r="K242" t="s">
        <v>15</v>
      </c>
      <c r="L242">
        <v>153</v>
      </c>
      <c r="M242">
        <v>89</v>
      </c>
      <c r="N242">
        <v>0</v>
      </c>
      <c r="O242">
        <v>6</v>
      </c>
      <c r="P242" s="1">
        <v>45415</v>
      </c>
      <c r="Q242" t="str">
        <f>IF(Hypertension_data[[#This Row],[BP_Controlled_After_3_Months]]=1,"Controlled","Not Controlled")</f>
        <v>Not Controlled</v>
      </c>
      <c r="R242">
        <f t="shared" si="9"/>
        <v>20</v>
      </c>
      <c r="S242">
        <f t="shared" si="10"/>
        <v>12</v>
      </c>
      <c r="T242" s="11" t="str">
        <f t="shared" si="11"/>
        <v>50-59</v>
      </c>
    </row>
    <row r="243" spans="1:20" x14ac:dyDescent="0.35">
      <c r="A243" t="s">
        <v>252</v>
      </c>
      <c r="B243">
        <v>47</v>
      </c>
      <c r="C243" t="s">
        <v>1</v>
      </c>
      <c r="D243">
        <v>1</v>
      </c>
      <c r="E243">
        <v>0</v>
      </c>
      <c r="F243">
        <v>0</v>
      </c>
      <c r="G243">
        <v>1</v>
      </c>
      <c r="H243">
        <v>151</v>
      </c>
      <c r="I243">
        <v>97</v>
      </c>
      <c r="J243" t="s">
        <v>5</v>
      </c>
      <c r="K243" t="s">
        <v>6</v>
      </c>
      <c r="L243">
        <v>134</v>
      </c>
      <c r="M243">
        <v>87</v>
      </c>
      <c r="N243">
        <v>1</v>
      </c>
      <c r="O243">
        <v>6</v>
      </c>
      <c r="P243" s="1">
        <v>45650</v>
      </c>
      <c r="Q243" t="str">
        <f>IF(Hypertension_data[[#This Row],[BP_Controlled_After_3_Months]]=1,"Controlled","Not Controlled")</f>
        <v>Controlled</v>
      </c>
      <c r="R243">
        <f t="shared" si="9"/>
        <v>17</v>
      </c>
      <c r="S243">
        <f t="shared" si="10"/>
        <v>10</v>
      </c>
      <c r="T243" s="11" t="str">
        <f t="shared" si="11"/>
        <v>40-49</v>
      </c>
    </row>
    <row r="244" spans="1:20" x14ac:dyDescent="0.35">
      <c r="A244" t="s">
        <v>253</v>
      </c>
      <c r="B244">
        <v>52</v>
      </c>
      <c r="C244" t="s">
        <v>1</v>
      </c>
      <c r="D244">
        <v>1</v>
      </c>
      <c r="E244">
        <v>0</v>
      </c>
      <c r="F244">
        <v>0</v>
      </c>
      <c r="G244">
        <v>1</v>
      </c>
      <c r="H244">
        <v>171</v>
      </c>
      <c r="I244">
        <v>91</v>
      </c>
      <c r="J244" t="s">
        <v>2</v>
      </c>
      <c r="K244" t="s">
        <v>15</v>
      </c>
      <c r="L244">
        <v>149</v>
      </c>
      <c r="M244">
        <v>78</v>
      </c>
      <c r="N244">
        <v>0</v>
      </c>
      <c r="O244">
        <v>1</v>
      </c>
      <c r="P244" s="1">
        <v>45561</v>
      </c>
      <c r="Q244" t="str">
        <f>IF(Hypertension_data[[#This Row],[BP_Controlled_After_3_Months]]=1,"Controlled","Not Controlled")</f>
        <v>Not Controlled</v>
      </c>
      <c r="R244">
        <f t="shared" si="9"/>
        <v>22</v>
      </c>
      <c r="S244">
        <f t="shared" si="10"/>
        <v>13</v>
      </c>
      <c r="T244" s="11" t="str">
        <f t="shared" si="11"/>
        <v>50-59</v>
      </c>
    </row>
    <row r="245" spans="1:20" x14ac:dyDescent="0.35">
      <c r="A245" t="s">
        <v>254</v>
      </c>
      <c r="B245">
        <v>60</v>
      </c>
      <c r="C245" t="s">
        <v>1</v>
      </c>
      <c r="D245">
        <v>0</v>
      </c>
      <c r="E245">
        <v>1</v>
      </c>
      <c r="F245">
        <v>1</v>
      </c>
      <c r="G245">
        <v>0</v>
      </c>
      <c r="H245">
        <v>185</v>
      </c>
      <c r="I245">
        <v>95</v>
      </c>
      <c r="J245" t="s">
        <v>8</v>
      </c>
      <c r="K245" t="s">
        <v>15</v>
      </c>
      <c r="L245">
        <v>170</v>
      </c>
      <c r="M245">
        <v>86</v>
      </c>
      <c r="N245">
        <v>0</v>
      </c>
      <c r="O245">
        <v>6</v>
      </c>
      <c r="P245" s="1">
        <v>45364</v>
      </c>
      <c r="Q245" t="str">
        <f>IF(Hypertension_data[[#This Row],[BP_Controlled_After_3_Months]]=1,"Controlled","Not Controlled")</f>
        <v>Not Controlled</v>
      </c>
      <c r="R245">
        <f t="shared" si="9"/>
        <v>15</v>
      </c>
      <c r="S245">
        <f t="shared" si="10"/>
        <v>9</v>
      </c>
      <c r="T245" s="11" t="str">
        <f t="shared" si="11"/>
        <v>60-69</v>
      </c>
    </row>
    <row r="246" spans="1:20" x14ac:dyDescent="0.35">
      <c r="A246" t="s">
        <v>255</v>
      </c>
      <c r="B246">
        <v>79</v>
      </c>
      <c r="C246" t="s">
        <v>1</v>
      </c>
      <c r="D246">
        <v>0</v>
      </c>
      <c r="E246">
        <v>1</v>
      </c>
      <c r="F246">
        <v>0</v>
      </c>
      <c r="G246">
        <v>0</v>
      </c>
      <c r="H246">
        <v>177</v>
      </c>
      <c r="I246">
        <v>93</v>
      </c>
      <c r="J246" t="s">
        <v>8</v>
      </c>
      <c r="K246" t="s">
        <v>6</v>
      </c>
      <c r="L246">
        <v>167</v>
      </c>
      <c r="M246">
        <v>87</v>
      </c>
      <c r="N246">
        <v>0</v>
      </c>
      <c r="O246">
        <v>6</v>
      </c>
      <c r="P246" s="1">
        <v>45515</v>
      </c>
      <c r="Q246" t="str">
        <f>IF(Hypertension_data[[#This Row],[BP_Controlled_After_3_Months]]=1,"Controlled","Not Controlled")</f>
        <v>Not Controlled</v>
      </c>
      <c r="R246">
        <f t="shared" si="9"/>
        <v>10</v>
      </c>
      <c r="S246">
        <f t="shared" si="10"/>
        <v>6</v>
      </c>
      <c r="T246" s="11" t="str">
        <f t="shared" si="11"/>
        <v>70+</v>
      </c>
    </row>
    <row r="247" spans="1:20" x14ac:dyDescent="0.35">
      <c r="A247" t="s">
        <v>256</v>
      </c>
      <c r="B247">
        <v>80</v>
      </c>
      <c r="C247" t="s">
        <v>12</v>
      </c>
      <c r="D247">
        <v>0</v>
      </c>
      <c r="E247">
        <v>1</v>
      </c>
      <c r="F247">
        <v>0</v>
      </c>
      <c r="G247">
        <v>1</v>
      </c>
      <c r="H247">
        <v>182</v>
      </c>
      <c r="I247">
        <v>108</v>
      </c>
      <c r="J247" t="s">
        <v>10</v>
      </c>
      <c r="K247" t="s">
        <v>6</v>
      </c>
      <c r="L247">
        <v>170</v>
      </c>
      <c r="M247">
        <v>101</v>
      </c>
      <c r="N247">
        <v>0</v>
      </c>
      <c r="O247">
        <v>2</v>
      </c>
      <c r="P247" s="1">
        <v>45292</v>
      </c>
      <c r="Q247" t="str">
        <f>IF(Hypertension_data[[#This Row],[BP_Controlled_After_3_Months]]=1,"Controlled","Not Controlled")</f>
        <v>Not Controlled</v>
      </c>
      <c r="R247">
        <f t="shared" si="9"/>
        <v>12</v>
      </c>
      <c r="S247">
        <f t="shared" si="10"/>
        <v>7</v>
      </c>
      <c r="T247" s="11" t="str">
        <f t="shared" si="11"/>
        <v>70+</v>
      </c>
    </row>
    <row r="248" spans="1:20" x14ac:dyDescent="0.35">
      <c r="A248" t="s">
        <v>257</v>
      </c>
      <c r="B248">
        <v>74</v>
      </c>
      <c r="C248" t="s">
        <v>12</v>
      </c>
      <c r="D248">
        <v>1</v>
      </c>
      <c r="E248">
        <v>1</v>
      </c>
      <c r="F248">
        <v>0</v>
      </c>
      <c r="G248">
        <v>1</v>
      </c>
      <c r="H248">
        <v>180</v>
      </c>
      <c r="I248">
        <v>108</v>
      </c>
      <c r="J248" t="s">
        <v>2</v>
      </c>
      <c r="K248" t="s">
        <v>6</v>
      </c>
      <c r="L248">
        <v>167</v>
      </c>
      <c r="M248">
        <v>101</v>
      </c>
      <c r="N248">
        <v>0</v>
      </c>
      <c r="O248">
        <v>2</v>
      </c>
      <c r="P248" s="1">
        <v>45469</v>
      </c>
      <c r="Q248" t="str">
        <f>IF(Hypertension_data[[#This Row],[BP_Controlled_After_3_Months]]=1,"Controlled","Not Controlled")</f>
        <v>Not Controlled</v>
      </c>
      <c r="R248">
        <f t="shared" si="9"/>
        <v>13</v>
      </c>
      <c r="S248">
        <f t="shared" si="10"/>
        <v>7</v>
      </c>
      <c r="T248" s="11" t="str">
        <f t="shared" si="11"/>
        <v>70+</v>
      </c>
    </row>
    <row r="249" spans="1:20" x14ac:dyDescent="0.35">
      <c r="A249" t="s">
        <v>258</v>
      </c>
      <c r="B249">
        <v>50</v>
      </c>
      <c r="C249" t="s">
        <v>1</v>
      </c>
      <c r="D249">
        <v>1</v>
      </c>
      <c r="E249">
        <v>0</v>
      </c>
      <c r="F249">
        <v>0</v>
      </c>
      <c r="G249">
        <v>1</v>
      </c>
      <c r="H249">
        <v>156</v>
      </c>
      <c r="I249">
        <v>96</v>
      </c>
      <c r="J249" t="s">
        <v>10</v>
      </c>
      <c r="K249" t="s">
        <v>3</v>
      </c>
      <c r="L249">
        <v>152</v>
      </c>
      <c r="M249">
        <v>94</v>
      </c>
      <c r="N249">
        <v>0</v>
      </c>
      <c r="O249">
        <v>1</v>
      </c>
      <c r="P249" s="1">
        <v>45292</v>
      </c>
      <c r="Q249" t="str">
        <f>IF(Hypertension_data[[#This Row],[BP_Controlled_After_3_Months]]=1,"Controlled","Not Controlled")</f>
        <v>Not Controlled</v>
      </c>
      <c r="R249">
        <f t="shared" si="9"/>
        <v>4</v>
      </c>
      <c r="S249">
        <f t="shared" si="10"/>
        <v>2</v>
      </c>
      <c r="T249" s="11" t="str">
        <f t="shared" si="11"/>
        <v>50-59</v>
      </c>
    </row>
    <row r="250" spans="1:20" x14ac:dyDescent="0.35">
      <c r="A250" t="s">
        <v>259</v>
      </c>
      <c r="B250">
        <v>33</v>
      </c>
      <c r="C250" t="s">
        <v>12</v>
      </c>
      <c r="D250">
        <v>0</v>
      </c>
      <c r="E250">
        <v>0</v>
      </c>
      <c r="F250">
        <v>1</v>
      </c>
      <c r="G250">
        <v>0</v>
      </c>
      <c r="H250">
        <v>171</v>
      </c>
      <c r="I250">
        <v>118</v>
      </c>
      <c r="J250" t="s">
        <v>19</v>
      </c>
      <c r="K250" t="s">
        <v>6</v>
      </c>
      <c r="L250">
        <v>162</v>
      </c>
      <c r="M250">
        <v>113</v>
      </c>
      <c r="N250">
        <v>0</v>
      </c>
      <c r="O250">
        <v>5</v>
      </c>
      <c r="P250" s="1">
        <v>45625</v>
      </c>
      <c r="Q250" t="str">
        <f>IF(Hypertension_data[[#This Row],[BP_Controlled_After_3_Months]]=1,"Controlled","Not Controlled")</f>
        <v>Not Controlled</v>
      </c>
      <c r="R250">
        <f t="shared" si="9"/>
        <v>9</v>
      </c>
      <c r="S250">
        <f t="shared" si="10"/>
        <v>5</v>
      </c>
      <c r="T250" s="11" t="str">
        <f t="shared" si="11"/>
        <v>30-39</v>
      </c>
    </row>
    <row r="251" spans="1:20" x14ac:dyDescent="0.35">
      <c r="A251" t="s">
        <v>260</v>
      </c>
      <c r="B251">
        <v>78</v>
      </c>
      <c r="C251" t="s">
        <v>1</v>
      </c>
      <c r="D251">
        <v>1</v>
      </c>
      <c r="E251">
        <v>0</v>
      </c>
      <c r="F251">
        <v>1</v>
      </c>
      <c r="G251">
        <v>1</v>
      </c>
      <c r="H251">
        <v>158</v>
      </c>
      <c r="I251">
        <v>90</v>
      </c>
      <c r="J251" t="s">
        <v>8</v>
      </c>
      <c r="K251" t="s">
        <v>6</v>
      </c>
      <c r="L251">
        <v>149</v>
      </c>
      <c r="M251">
        <v>85</v>
      </c>
      <c r="N251">
        <v>0</v>
      </c>
      <c r="O251">
        <v>2</v>
      </c>
      <c r="P251" s="1">
        <v>45484</v>
      </c>
      <c r="Q251" t="str">
        <f>IF(Hypertension_data[[#This Row],[BP_Controlled_After_3_Months]]=1,"Controlled","Not Controlled")</f>
        <v>Not Controlled</v>
      </c>
      <c r="R251">
        <f t="shared" si="9"/>
        <v>9</v>
      </c>
      <c r="S251">
        <f t="shared" si="10"/>
        <v>5</v>
      </c>
      <c r="T251" s="11" t="str">
        <f t="shared" si="11"/>
        <v>70+</v>
      </c>
    </row>
    <row r="252" spans="1:20" x14ac:dyDescent="0.35">
      <c r="A252" t="s">
        <v>261</v>
      </c>
      <c r="B252">
        <v>40</v>
      </c>
      <c r="C252" t="s">
        <v>1</v>
      </c>
      <c r="D252">
        <v>1</v>
      </c>
      <c r="E252">
        <v>0</v>
      </c>
      <c r="F252">
        <v>0</v>
      </c>
      <c r="G252">
        <v>1</v>
      </c>
      <c r="H252">
        <v>167</v>
      </c>
      <c r="I252">
        <v>120</v>
      </c>
      <c r="J252" t="s">
        <v>13</v>
      </c>
      <c r="K252" t="s">
        <v>15</v>
      </c>
      <c r="L252">
        <v>134</v>
      </c>
      <c r="M252">
        <v>101</v>
      </c>
      <c r="N252">
        <v>0</v>
      </c>
      <c r="O252">
        <v>3</v>
      </c>
      <c r="P252" s="1">
        <v>45397</v>
      </c>
      <c r="Q252" t="str">
        <f>IF(Hypertension_data[[#This Row],[BP_Controlled_After_3_Months]]=1,"Controlled","Not Controlled")</f>
        <v>Not Controlled</v>
      </c>
      <c r="R252">
        <f t="shared" si="9"/>
        <v>33</v>
      </c>
      <c r="S252">
        <f t="shared" si="10"/>
        <v>19</v>
      </c>
      <c r="T252" s="11" t="str">
        <f t="shared" si="11"/>
        <v>40-49</v>
      </c>
    </row>
    <row r="253" spans="1:20" x14ac:dyDescent="0.35">
      <c r="A253" t="s">
        <v>262</v>
      </c>
      <c r="B253">
        <v>42</v>
      </c>
      <c r="C253" t="s">
        <v>12</v>
      </c>
      <c r="D253">
        <v>0</v>
      </c>
      <c r="E253">
        <v>0</v>
      </c>
      <c r="F253">
        <v>0</v>
      </c>
      <c r="G253">
        <v>1</v>
      </c>
      <c r="H253">
        <v>146</v>
      </c>
      <c r="I253">
        <v>91</v>
      </c>
      <c r="J253" t="s">
        <v>19</v>
      </c>
      <c r="K253" t="s">
        <v>3</v>
      </c>
      <c r="L253">
        <v>146</v>
      </c>
      <c r="M253">
        <v>91</v>
      </c>
      <c r="N253">
        <v>0</v>
      </c>
      <c r="O253">
        <v>3</v>
      </c>
      <c r="P253" s="1">
        <v>45293</v>
      </c>
      <c r="Q253" t="str">
        <f>IF(Hypertension_data[[#This Row],[BP_Controlled_After_3_Months]]=1,"Controlled","Not Controlled")</f>
        <v>Not Controlled</v>
      </c>
      <c r="R253">
        <f t="shared" si="9"/>
        <v>0</v>
      </c>
      <c r="S253">
        <f t="shared" si="10"/>
        <v>0</v>
      </c>
      <c r="T253" s="11" t="str">
        <f t="shared" si="11"/>
        <v>40-49</v>
      </c>
    </row>
    <row r="254" spans="1:20" x14ac:dyDescent="0.35">
      <c r="A254" t="s">
        <v>263</v>
      </c>
      <c r="B254">
        <v>57</v>
      </c>
      <c r="C254" t="s">
        <v>1</v>
      </c>
      <c r="D254">
        <v>0</v>
      </c>
      <c r="E254">
        <v>0</v>
      </c>
      <c r="F254">
        <v>1</v>
      </c>
      <c r="G254">
        <v>1</v>
      </c>
      <c r="H254">
        <v>141</v>
      </c>
      <c r="I254">
        <v>96</v>
      </c>
      <c r="J254" t="s">
        <v>10</v>
      </c>
      <c r="K254" t="s">
        <v>3</v>
      </c>
      <c r="L254">
        <v>134</v>
      </c>
      <c r="M254">
        <v>92</v>
      </c>
      <c r="N254">
        <v>0</v>
      </c>
      <c r="O254">
        <v>1</v>
      </c>
      <c r="P254" s="1">
        <v>45449</v>
      </c>
      <c r="Q254" t="str">
        <f>IF(Hypertension_data[[#This Row],[BP_Controlled_After_3_Months]]=1,"Controlled","Not Controlled")</f>
        <v>Not Controlled</v>
      </c>
      <c r="R254">
        <f t="shared" si="9"/>
        <v>7</v>
      </c>
      <c r="S254">
        <f t="shared" si="10"/>
        <v>4</v>
      </c>
      <c r="T254" s="11" t="str">
        <f t="shared" si="11"/>
        <v>50-59</v>
      </c>
    </row>
    <row r="255" spans="1:20" x14ac:dyDescent="0.35">
      <c r="A255" t="s">
        <v>264</v>
      </c>
      <c r="B255">
        <v>80</v>
      </c>
      <c r="C255" t="s">
        <v>12</v>
      </c>
      <c r="D255">
        <v>0</v>
      </c>
      <c r="E255">
        <v>0</v>
      </c>
      <c r="F255">
        <v>0</v>
      </c>
      <c r="G255">
        <v>1</v>
      </c>
      <c r="H255">
        <v>181</v>
      </c>
      <c r="I255">
        <v>107</v>
      </c>
      <c r="J255" t="s">
        <v>19</v>
      </c>
      <c r="K255" t="s">
        <v>15</v>
      </c>
      <c r="L255">
        <v>155</v>
      </c>
      <c r="M255">
        <v>92</v>
      </c>
      <c r="N255">
        <v>0</v>
      </c>
      <c r="O255">
        <v>2</v>
      </c>
      <c r="P255" s="1">
        <v>45520</v>
      </c>
      <c r="Q255" t="str">
        <f>IF(Hypertension_data[[#This Row],[BP_Controlled_After_3_Months]]=1,"Controlled","Not Controlled")</f>
        <v>Not Controlled</v>
      </c>
      <c r="R255">
        <f t="shared" si="9"/>
        <v>26</v>
      </c>
      <c r="S255">
        <f t="shared" si="10"/>
        <v>15</v>
      </c>
      <c r="T255" s="11" t="str">
        <f t="shared" si="11"/>
        <v>70+</v>
      </c>
    </row>
    <row r="256" spans="1:20" x14ac:dyDescent="0.35">
      <c r="A256" t="s">
        <v>265</v>
      </c>
      <c r="B256">
        <v>32</v>
      </c>
      <c r="C256" t="s">
        <v>12</v>
      </c>
      <c r="D256">
        <v>0</v>
      </c>
      <c r="E256">
        <v>0</v>
      </c>
      <c r="F256">
        <v>0</v>
      </c>
      <c r="G256">
        <v>1</v>
      </c>
      <c r="H256">
        <v>157</v>
      </c>
      <c r="I256">
        <v>108</v>
      </c>
      <c r="J256" t="s">
        <v>2</v>
      </c>
      <c r="K256" t="s">
        <v>15</v>
      </c>
      <c r="L256">
        <v>139</v>
      </c>
      <c r="M256">
        <v>98</v>
      </c>
      <c r="N256">
        <v>0</v>
      </c>
      <c r="O256">
        <v>3</v>
      </c>
      <c r="P256" s="1">
        <v>45569</v>
      </c>
      <c r="Q256" t="str">
        <f>IF(Hypertension_data[[#This Row],[BP_Controlled_After_3_Months]]=1,"Controlled","Not Controlled")</f>
        <v>Not Controlled</v>
      </c>
      <c r="R256">
        <f t="shared" si="9"/>
        <v>18</v>
      </c>
      <c r="S256">
        <f t="shared" si="10"/>
        <v>10</v>
      </c>
      <c r="T256" s="11" t="str">
        <f t="shared" si="11"/>
        <v>30-39</v>
      </c>
    </row>
    <row r="257" spans="1:20" x14ac:dyDescent="0.35">
      <c r="A257" t="s">
        <v>266</v>
      </c>
      <c r="B257">
        <v>56</v>
      </c>
      <c r="C257" t="s">
        <v>1</v>
      </c>
      <c r="D257">
        <v>1</v>
      </c>
      <c r="E257">
        <v>0</v>
      </c>
      <c r="F257">
        <v>0</v>
      </c>
      <c r="G257">
        <v>0</v>
      </c>
      <c r="H257">
        <v>176</v>
      </c>
      <c r="I257">
        <v>118</v>
      </c>
      <c r="J257" t="s">
        <v>10</v>
      </c>
      <c r="K257" t="s">
        <v>6</v>
      </c>
      <c r="L257">
        <v>167</v>
      </c>
      <c r="M257">
        <v>113</v>
      </c>
      <c r="N257">
        <v>0</v>
      </c>
      <c r="O257">
        <v>6</v>
      </c>
      <c r="P257" s="1">
        <v>45309</v>
      </c>
      <c r="Q257" t="str">
        <f>IF(Hypertension_data[[#This Row],[BP_Controlled_After_3_Months]]=1,"Controlled","Not Controlled")</f>
        <v>Not Controlled</v>
      </c>
      <c r="R257">
        <f t="shared" si="9"/>
        <v>9</v>
      </c>
      <c r="S257">
        <f t="shared" si="10"/>
        <v>5</v>
      </c>
      <c r="T257" s="11" t="str">
        <f t="shared" si="11"/>
        <v>50-59</v>
      </c>
    </row>
    <row r="258" spans="1:20" x14ac:dyDescent="0.35">
      <c r="A258" t="s">
        <v>267</v>
      </c>
      <c r="B258">
        <v>62</v>
      </c>
      <c r="C258" t="s">
        <v>1</v>
      </c>
      <c r="D258">
        <v>1</v>
      </c>
      <c r="E258">
        <v>0</v>
      </c>
      <c r="F258">
        <v>1</v>
      </c>
      <c r="G258">
        <v>1</v>
      </c>
      <c r="H258">
        <v>153</v>
      </c>
      <c r="I258">
        <v>115</v>
      </c>
      <c r="J258" t="s">
        <v>10</v>
      </c>
      <c r="K258" t="s">
        <v>15</v>
      </c>
      <c r="L258">
        <v>137</v>
      </c>
      <c r="M258">
        <v>106</v>
      </c>
      <c r="N258">
        <v>0</v>
      </c>
      <c r="O258">
        <v>6</v>
      </c>
      <c r="P258" s="1">
        <v>45514</v>
      </c>
      <c r="Q258" t="str">
        <f>IF(Hypertension_data[[#This Row],[BP_Controlled_After_3_Months]]=1,"Controlled","Not Controlled")</f>
        <v>Not Controlled</v>
      </c>
      <c r="R258">
        <f t="shared" ref="R258:R321" si="12">H258-L258</f>
        <v>16</v>
      </c>
      <c r="S258">
        <f t="shared" ref="S258:S321" si="13">I258-M258</f>
        <v>9</v>
      </c>
      <c r="T258" s="11" t="str">
        <f t="shared" ref="T258:T321" si="14">IF(B258&lt;40,"30-39",
IF(B258&lt;50,"40-49",
IF(B258&lt;60,"50-59",
IF(B258&lt;70,"60-69",
"70+"))))</f>
        <v>60-69</v>
      </c>
    </row>
    <row r="259" spans="1:20" x14ac:dyDescent="0.35">
      <c r="A259" t="s">
        <v>268</v>
      </c>
      <c r="B259">
        <v>42</v>
      </c>
      <c r="C259" t="s">
        <v>1</v>
      </c>
      <c r="D259">
        <v>0</v>
      </c>
      <c r="E259">
        <v>0</v>
      </c>
      <c r="F259">
        <v>1</v>
      </c>
      <c r="G259">
        <v>1</v>
      </c>
      <c r="H259">
        <v>164</v>
      </c>
      <c r="I259">
        <v>107</v>
      </c>
      <c r="J259" t="s">
        <v>19</v>
      </c>
      <c r="K259" t="s">
        <v>3</v>
      </c>
      <c r="L259">
        <v>156</v>
      </c>
      <c r="M259">
        <v>103</v>
      </c>
      <c r="N259">
        <v>0</v>
      </c>
      <c r="O259">
        <v>4</v>
      </c>
      <c r="P259" s="1">
        <v>45298</v>
      </c>
      <c r="Q259" t="str">
        <f>IF(Hypertension_data[[#This Row],[BP_Controlled_After_3_Months]]=1,"Controlled","Not Controlled")</f>
        <v>Not Controlled</v>
      </c>
      <c r="R259">
        <f t="shared" si="12"/>
        <v>8</v>
      </c>
      <c r="S259">
        <f t="shared" si="13"/>
        <v>4</v>
      </c>
      <c r="T259" s="11" t="str">
        <f t="shared" si="14"/>
        <v>40-49</v>
      </c>
    </row>
    <row r="260" spans="1:20" x14ac:dyDescent="0.35">
      <c r="A260" t="s">
        <v>269</v>
      </c>
      <c r="B260">
        <v>80</v>
      </c>
      <c r="C260" t="s">
        <v>12</v>
      </c>
      <c r="D260">
        <v>1</v>
      </c>
      <c r="E260">
        <v>0</v>
      </c>
      <c r="F260">
        <v>1</v>
      </c>
      <c r="G260">
        <v>1</v>
      </c>
      <c r="H260">
        <v>176</v>
      </c>
      <c r="I260">
        <v>108</v>
      </c>
      <c r="J260" t="s">
        <v>5</v>
      </c>
      <c r="K260" t="s">
        <v>15</v>
      </c>
      <c r="L260">
        <v>158</v>
      </c>
      <c r="M260">
        <v>98</v>
      </c>
      <c r="N260">
        <v>0</v>
      </c>
      <c r="O260">
        <v>3</v>
      </c>
      <c r="P260" s="1">
        <v>45566</v>
      </c>
      <c r="Q260" t="str">
        <f>IF(Hypertension_data[[#This Row],[BP_Controlled_After_3_Months]]=1,"Controlled","Not Controlled")</f>
        <v>Not Controlled</v>
      </c>
      <c r="R260">
        <f t="shared" si="12"/>
        <v>18</v>
      </c>
      <c r="S260">
        <f t="shared" si="13"/>
        <v>10</v>
      </c>
      <c r="T260" s="11" t="str">
        <f t="shared" si="14"/>
        <v>70+</v>
      </c>
    </row>
    <row r="261" spans="1:20" x14ac:dyDescent="0.35">
      <c r="A261" t="s">
        <v>270</v>
      </c>
      <c r="B261">
        <v>52</v>
      </c>
      <c r="C261" t="s">
        <v>12</v>
      </c>
      <c r="D261">
        <v>0</v>
      </c>
      <c r="E261">
        <v>0</v>
      </c>
      <c r="F261">
        <v>0</v>
      </c>
      <c r="G261">
        <v>0</v>
      </c>
      <c r="H261">
        <v>142</v>
      </c>
      <c r="I261">
        <v>95</v>
      </c>
      <c r="J261" t="s">
        <v>8</v>
      </c>
      <c r="K261" t="s">
        <v>6</v>
      </c>
      <c r="L261">
        <v>125</v>
      </c>
      <c r="M261">
        <v>85</v>
      </c>
      <c r="N261">
        <v>1</v>
      </c>
      <c r="O261">
        <v>6</v>
      </c>
      <c r="P261" s="1">
        <v>45647</v>
      </c>
      <c r="Q261" t="str">
        <f>IF(Hypertension_data[[#This Row],[BP_Controlled_After_3_Months]]=1,"Controlled","Not Controlled")</f>
        <v>Controlled</v>
      </c>
      <c r="R261">
        <f t="shared" si="12"/>
        <v>17</v>
      </c>
      <c r="S261">
        <f t="shared" si="13"/>
        <v>10</v>
      </c>
      <c r="T261" s="11" t="str">
        <f t="shared" si="14"/>
        <v>50-59</v>
      </c>
    </row>
    <row r="262" spans="1:20" x14ac:dyDescent="0.35">
      <c r="A262" t="s">
        <v>271</v>
      </c>
      <c r="B262">
        <v>55</v>
      </c>
      <c r="C262" t="s">
        <v>1</v>
      </c>
      <c r="D262">
        <v>0</v>
      </c>
      <c r="E262">
        <v>0</v>
      </c>
      <c r="F262">
        <v>1</v>
      </c>
      <c r="G262">
        <v>1</v>
      </c>
      <c r="H262">
        <v>187</v>
      </c>
      <c r="I262">
        <v>105</v>
      </c>
      <c r="J262" t="s">
        <v>8</v>
      </c>
      <c r="K262" t="s">
        <v>6</v>
      </c>
      <c r="L262">
        <v>174</v>
      </c>
      <c r="M262">
        <v>98</v>
      </c>
      <c r="N262">
        <v>0</v>
      </c>
      <c r="O262">
        <v>3</v>
      </c>
      <c r="P262" s="1">
        <v>45435</v>
      </c>
      <c r="Q262" t="str">
        <f>IF(Hypertension_data[[#This Row],[BP_Controlled_After_3_Months]]=1,"Controlled","Not Controlled")</f>
        <v>Not Controlled</v>
      </c>
      <c r="R262">
        <f t="shared" si="12"/>
        <v>13</v>
      </c>
      <c r="S262">
        <f t="shared" si="13"/>
        <v>7</v>
      </c>
      <c r="T262" s="11" t="str">
        <f t="shared" si="14"/>
        <v>50-59</v>
      </c>
    </row>
    <row r="263" spans="1:20" x14ac:dyDescent="0.35">
      <c r="A263" t="s">
        <v>272</v>
      </c>
      <c r="B263">
        <v>83</v>
      </c>
      <c r="C263" t="s">
        <v>12</v>
      </c>
      <c r="D263">
        <v>1</v>
      </c>
      <c r="E263">
        <v>1</v>
      </c>
      <c r="F263">
        <v>1</v>
      </c>
      <c r="G263">
        <v>0</v>
      </c>
      <c r="H263">
        <v>187</v>
      </c>
      <c r="I263">
        <v>104</v>
      </c>
      <c r="J263" t="s">
        <v>8</v>
      </c>
      <c r="K263" t="s">
        <v>6</v>
      </c>
      <c r="L263">
        <v>170</v>
      </c>
      <c r="M263">
        <v>94</v>
      </c>
      <c r="N263">
        <v>0</v>
      </c>
      <c r="O263">
        <v>1</v>
      </c>
      <c r="P263" s="1">
        <v>45388</v>
      </c>
      <c r="Q263" t="str">
        <f>IF(Hypertension_data[[#This Row],[BP_Controlled_After_3_Months]]=1,"Controlled","Not Controlled")</f>
        <v>Not Controlled</v>
      </c>
      <c r="R263">
        <f t="shared" si="12"/>
        <v>17</v>
      </c>
      <c r="S263">
        <f t="shared" si="13"/>
        <v>10</v>
      </c>
      <c r="T263" s="11" t="str">
        <f t="shared" si="14"/>
        <v>70+</v>
      </c>
    </row>
    <row r="264" spans="1:20" x14ac:dyDescent="0.35">
      <c r="A264" t="s">
        <v>273</v>
      </c>
      <c r="B264">
        <v>58</v>
      </c>
      <c r="C264" t="s">
        <v>1</v>
      </c>
      <c r="D264">
        <v>0</v>
      </c>
      <c r="E264">
        <v>0</v>
      </c>
      <c r="F264">
        <v>0</v>
      </c>
      <c r="G264">
        <v>1</v>
      </c>
      <c r="H264">
        <v>172</v>
      </c>
      <c r="I264">
        <v>115</v>
      </c>
      <c r="J264" t="s">
        <v>10</v>
      </c>
      <c r="K264" t="s">
        <v>15</v>
      </c>
      <c r="L264">
        <v>148</v>
      </c>
      <c r="M264">
        <v>101</v>
      </c>
      <c r="N264">
        <v>0</v>
      </c>
      <c r="O264">
        <v>2</v>
      </c>
      <c r="P264" s="1">
        <v>45560</v>
      </c>
      <c r="Q264" t="str">
        <f>IF(Hypertension_data[[#This Row],[BP_Controlled_After_3_Months]]=1,"Controlled","Not Controlled")</f>
        <v>Not Controlled</v>
      </c>
      <c r="R264">
        <f t="shared" si="12"/>
        <v>24</v>
      </c>
      <c r="S264">
        <f t="shared" si="13"/>
        <v>14</v>
      </c>
      <c r="T264" s="11" t="str">
        <f t="shared" si="14"/>
        <v>50-59</v>
      </c>
    </row>
    <row r="265" spans="1:20" x14ac:dyDescent="0.35">
      <c r="A265" t="s">
        <v>274</v>
      </c>
      <c r="B265">
        <v>66</v>
      </c>
      <c r="C265" t="s">
        <v>1</v>
      </c>
      <c r="D265">
        <v>1</v>
      </c>
      <c r="E265">
        <v>1</v>
      </c>
      <c r="F265">
        <v>1</v>
      </c>
      <c r="G265">
        <v>1</v>
      </c>
      <c r="H265">
        <v>155</v>
      </c>
      <c r="I265">
        <v>91</v>
      </c>
      <c r="J265" t="s">
        <v>19</v>
      </c>
      <c r="K265" t="s">
        <v>15</v>
      </c>
      <c r="L265">
        <v>129</v>
      </c>
      <c r="M265">
        <v>76</v>
      </c>
      <c r="N265">
        <v>1</v>
      </c>
      <c r="O265">
        <v>3</v>
      </c>
      <c r="P265" s="1">
        <v>45529</v>
      </c>
      <c r="Q265" t="str">
        <f>IF(Hypertension_data[[#This Row],[BP_Controlled_After_3_Months]]=1,"Controlled","Not Controlled")</f>
        <v>Controlled</v>
      </c>
      <c r="R265">
        <f t="shared" si="12"/>
        <v>26</v>
      </c>
      <c r="S265">
        <f t="shared" si="13"/>
        <v>15</v>
      </c>
      <c r="T265" s="11" t="str">
        <f t="shared" si="14"/>
        <v>60-69</v>
      </c>
    </row>
    <row r="266" spans="1:20" x14ac:dyDescent="0.35">
      <c r="A266" t="s">
        <v>275</v>
      </c>
      <c r="B266">
        <v>62</v>
      </c>
      <c r="C266" t="s">
        <v>12</v>
      </c>
      <c r="D266">
        <v>1</v>
      </c>
      <c r="E266">
        <v>1</v>
      </c>
      <c r="F266">
        <v>1</v>
      </c>
      <c r="G266">
        <v>0</v>
      </c>
      <c r="H266">
        <v>171</v>
      </c>
      <c r="I266">
        <v>109</v>
      </c>
      <c r="J266" t="s">
        <v>19</v>
      </c>
      <c r="K266" t="s">
        <v>15</v>
      </c>
      <c r="L266">
        <v>141</v>
      </c>
      <c r="M266">
        <v>91</v>
      </c>
      <c r="N266">
        <v>0</v>
      </c>
      <c r="O266">
        <v>3</v>
      </c>
      <c r="P266" s="1">
        <v>45468</v>
      </c>
      <c r="Q266" t="str">
        <f>IF(Hypertension_data[[#This Row],[BP_Controlled_After_3_Months]]=1,"Controlled","Not Controlled")</f>
        <v>Not Controlled</v>
      </c>
      <c r="R266">
        <f t="shared" si="12"/>
        <v>30</v>
      </c>
      <c r="S266">
        <f t="shared" si="13"/>
        <v>18</v>
      </c>
      <c r="T266" s="11" t="str">
        <f t="shared" si="14"/>
        <v>60-69</v>
      </c>
    </row>
    <row r="267" spans="1:20" x14ac:dyDescent="0.35">
      <c r="A267" t="s">
        <v>276</v>
      </c>
      <c r="B267">
        <v>40</v>
      </c>
      <c r="C267" t="s">
        <v>12</v>
      </c>
      <c r="D267">
        <v>1</v>
      </c>
      <c r="E267">
        <v>0</v>
      </c>
      <c r="F267">
        <v>1</v>
      </c>
      <c r="G267">
        <v>0</v>
      </c>
      <c r="H267">
        <v>143</v>
      </c>
      <c r="I267">
        <v>95</v>
      </c>
      <c r="J267" t="s">
        <v>5</v>
      </c>
      <c r="K267" t="s">
        <v>15</v>
      </c>
      <c r="L267">
        <v>121</v>
      </c>
      <c r="M267">
        <v>82</v>
      </c>
      <c r="N267">
        <v>1</v>
      </c>
      <c r="O267">
        <v>6</v>
      </c>
      <c r="P267" s="1">
        <v>45397</v>
      </c>
      <c r="Q267" t="str">
        <f>IF(Hypertension_data[[#This Row],[BP_Controlled_After_3_Months]]=1,"Controlled","Not Controlled")</f>
        <v>Controlled</v>
      </c>
      <c r="R267">
        <f t="shared" si="12"/>
        <v>22</v>
      </c>
      <c r="S267">
        <f t="shared" si="13"/>
        <v>13</v>
      </c>
      <c r="T267" s="11" t="str">
        <f t="shared" si="14"/>
        <v>40-49</v>
      </c>
    </row>
    <row r="268" spans="1:20" x14ac:dyDescent="0.35">
      <c r="A268" t="s">
        <v>277</v>
      </c>
      <c r="B268">
        <v>47</v>
      </c>
      <c r="C268" t="s">
        <v>12</v>
      </c>
      <c r="D268">
        <v>1</v>
      </c>
      <c r="E268">
        <v>1</v>
      </c>
      <c r="F268">
        <v>0</v>
      </c>
      <c r="G268">
        <v>1</v>
      </c>
      <c r="H268">
        <v>181</v>
      </c>
      <c r="I268">
        <v>95</v>
      </c>
      <c r="J268" t="s">
        <v>5</v>
      </c>
      <c r="K268" t="s">
        <v>15</v>
      </c>
      <c r="L268">
        <v>159</v>
      </c>
      <c r="M268">
        <v>82</v>
      </c>
      <c r="N268">
        <v>0</v>
      </c>
      <c r="O268">
        <v>3</v>
      </c>
      <c r="P268" s="1">
        <v>45656</v>
      </c>
      <c r="Q268" t="str">
        <f>IF(Hypertension_data[[#This Row],[BP_Controlled_After_3_Months]]=1,"Controlled","Not Controlled")</f>
        <v>Not Controlled</v>
      </c>
      <c r="R268">
        <f t="shared" si="12"/>
        <v>22</v>
      </c>
      <c r="S268">
        <f t="shared" si="13"/>
        <v>13</v>
      </c>
      <c r="T268" s="11" t="str">
        <f t="shared" si="14"/>
        <v>40-49</v>
      </c>
    </row>
    <row r="269" spans="1:20" x14ac:dyDescent="0.35">
      <c r="A269" t="s">
        <v>278</v>
      </c>
      <c r="B269">
        <v>75</v>
      </c>
      <c r="C269" t="s">
        <v>12</v>
      </c>
      <c r="D269">
        <v>0</v>
      </c>
      <c r="E269">
        <v>0</v>
      </c>
      <c r="F269">
        <v>0</v>
      </c>
      <c r="G269">
        <v>0</v>
      </c>
      <c r="H269">
        <v>156</v>
      </c>
      <c r="I269">
        <v>96</v>
      </c>
      <c r="J269" t="s">
        <v>19</v>
      </c>
      <c r="K269" t="s">
        <v>6</v>
      </c>
      <c r="L269">
        <v>139</v>
      </c>
      <c r="M269">
        <v>86</v>
      </c>
      <c r="N269">
        <v>1</v>
      </c>
      <c r="O269">
        <v>1</v>
      </c>
      <c r="P269" s="1">
        <v>45553</v>
      </c>
      <c r="Q269" t="str">
        <f>IF(Hypertension_data[[#This Row],[BP_Controlled_After_3_Months]]=1,"Controlled","Not Controlled")</f>
        <v>Controlled</v>
      </c>
      <c r="R269">
        <f t="shared" si="12"/>
        <v>17</v>
      </c>
      <c r="S269">
        <f t="shared" si="13"/>
        <v>10</v>
      </c>
      <c r="T269" s="11" t="str">
        <f t="shared" si="14"/>
        <v>70+</v>
      </c>
    </row>
    <row r="270" spans="1:20" x14ac:dyDescent="0.35">
      <c r="A270" t="s">
        <v>279</v>
      </c>
      <c r="B270">
        <v>72</v>
      </c>
      <c r="C270" t="s">
        <v>12</v>
      </c>
      <c r="D270">
        <v>0</v>
      </c>
      <c r="E270">
        <v>0</v>
      </c>
      <c r="F270">
        <v>1</v>
      </c>
      <c r="G270">
        <v>0</v>
      </c>
      <c r="H270">
        <v>144</v>
      </c>
      <c r="I270">
        <v>100</v>
      </c>
      <c r="J270" t="s">
        <v>8</v>
      </c>
      <c r="K270" t="s">
        <v>3</v>
      </c>
      <c r="L270">
        <v>140</v>
      </c>
      <c r="M270">
        <v>98</v>
      </c>
      <c r="N270">
        <v>0</v>
      </c>
      <c r="O270">
        <v>6</v>
      </c>
      <c r="P270" s="1">
        <v>45656</v>
      </c>
      <c r="Q270" t="str">
        <f>IF(Hypertension_data[[#This Row],[BP_Controlled_After_3_Months]]=1,"Controlled","Not Controlled")</f>
        <v>Not Controlled</v>
      </c>
      <c r="R270">
        <f t="shared" si="12"/>
        <v>4</v>
      </c>
      <c r="S270">
        <f t="shared" si="13"/>
        <v>2</v>
      </c>
      <c r="T270" s="11" t="str">
        <f t="shared" si="14"/>
        <v>70+</v>
      </c>
    </row>
    <row r="271" spans="1:20" x14ac:dyDescent="0.35">
      <c r="A271" t="s">
        <v>280</v>
      </c>
      <c r="B271">
        <v>71</v>
      </c>
      <c r="C271" t="s">
        <v>12</v>
      </c>
      <c r="D271">
        <v>1</v>
      </c>
      <c r="E271">
        <v>1</v>
      </c>
      <c r="F271">
        <v>1</v>
      </c>
      <c r="G271">
        <v>1</v>
      </c>
      <c r="H271">
        <v>178</v>
      </c>
      <c r="I271">
        <v>102</v>
      </c>
      <c r="J271" t="s">
        <v>13</v>
      </c>
      <c r="K271" t="s">
        <v>6</v>
      </c>
      <c r="L271">
        <v>162</v>
      </c>
      <c r="M271">
        <v>93</v>
      </c>
      <c r="N271">
        <v>0</v>
      </c>
      <c r="O271">
        <v>3</v>
      </c>
      <c r="P271" s="1">
        <v>45424</v>
      </c>
      <c r="Q271" t="str">
        <f>IF(Hypertension_data[[#This Row],[BP_Controlled_After_3_Months]]=1,"Controlled","Not Controlled")</f>
        <v>Not Controlled</v>
      </c>
      <c r="R271">
        <f t="shared" si="12"/>
        <v>16</v>
      </c>
      <c r="S271">
        <f t="shared" si="13"/>
        <v>9</v>
      </c>
      <c r="T271" s="11" t="str">
        <f t="shared" si="14"/>
        <v>70+</v>
      </c>
    </row>
    <row r="272" spans="1:20" x14ac:dyDescent="0.35">
      <c r="A272" t="s">
        <v>281</v>
      </c>
      <c r="B272">
        <v>56</v>
      </c>
      <c r="C272" t="s">
        <v>12</v>
      </c>
      <c r="D272">
        <v>0</v>
      </c>
      <c r="E272">
        <v>1</v>
      </c>
      <c r="F272">
        <v>1</v>
      </c>
      <c r="G272">
        <v>0</v>
      </c>
      <c r="H272">
        <v>186</v>
      </c>
      <c r="I272">
        <v>112</v>
      </c>
      <c r="J272" t="s">
        <v>10</v>
      </c>
      <c r="K272" t="s">
        <v>3</v>
      </c>
      <c r="L272">
        <v>181</v>
      </c>
      <c r="M272">
        <v>109</v>
      </c>
      <c r="N272">
        <v>0</v>
      </c>
      <c r="O272">
        <v>5</v>
      </c>
      <c r="P272" s="1">
        <v>45445</v>
      </c>
      <c r="Q272" t="str">
        <f>IF(Hypertension_data[[#This Row],[BP_Controlled_After_3_Months]]=1,"Controlled","Not Controlled")</f>
        <v>Not Controlled</v>
      </c>
      <c r="R272">
        <f t="shared" si="12"/>
        <v>5</v>
      </c>
      <c r="S272">
        <f t="shared" si="13"/>
        <v>3</v>
      </c>
      <c r="T272" s="11" t="str">
        <f t="shared" si="14"/>
        <v>50-59</v>
      </c>
    </row>
    <row r="273" spans="1:20" x14ac:dyDescent="0.35">
      <c r="A273" t="s">
        <v>282</v>
      </c>
      <c r="B273">
        <v>84</v>
      </c>
      <c r="C273" t="s">
        <v>1</v>
      </c>
      <c r="D273">
        <v>1</v>
      </c>
      <c r="E273">
        <v>0</v>
      </c>
      <c r="F273">
        <v>1</v>
      </c>
      <c r="G273">
        <v>0</v>
      </c>
      <c r="H273">
        <v>148</v>
      </c>
      <c r="I273">
        <v>113</v>
      </c>
      <c r="J273" t="s">
        <v>8</v>
      </c>
      <c r="K273" t="s">
        <v>3</v>
      </c>
      <c r="L273">
        <v>143</v>
      </c>
      <c r="M273">
        <v>110</v>
      </c>
      <c r="N273">
        <v>0</v>
      </c>
      <c r="O273">
        <v>6</v>
      </c>
      <c r="P273" s="1">
        <v>45337</v>
      </c>
      <c r="Q273" t="str">
        <f>IF(Hypertension_data[[#This Row],[BP_Controlled_After_3_Months]]=1,"Controlled","Not Controlled")</f>
        <v>Not Controlled</v>
      </c>
      <c r="R273">
        <f t="shared" si="12"/>
        <v>5</v>
      </c>
      <c r="S273">
        <f t="shared" si="13"/>
        <v>3</v>
      </c>
      <c r="T273" s="11" t="str">
        <f t="shared" si="14"/>
        <v>70+</v>
      </c>
    </row>
    <row r="274" spans="1:20" x14ac:dyDescent="0.35">
      <c r="A274" t="s">
        <v>283</v>
      </c>
      <c r="B274">
        <v>44</v>
      </c>
      <c r="C274" t="s">
        <v>12</v>
      </c>
      <c r="D274">
        <v>1</v>
      </c>
      <c r="E274">
        <v>0</v>
      </c>
      <c r="F274">
        <v>0</v>
      </c>
      <c r="G274">
        <v>0</v>
      </c>
      <c r="H274">
        <v>163</v>
      </c>
      <c r="I274">
        <v>98</v>
      </c>
      <c r="J274" t="s">
        <v>5</v>
      </c>
      <c r="K274" t="s">
        <v>6</v>
      </c>
      <c r="L274">
        <v>154</v>
      </c>
      <c r="M274">
        <v>93</v>
      </c>
      <c r="N274">
        <v>0</v>
      </c>
      <c r="O274">
        <v>1</v>
      </c>
      <c r="P274" s="1">
        <v>45616</v>
      </c>
      <c r="Q274" t="str">
        <f>IF(Hypertension_data[[#This Row],[BP_Controlled_After_3_Months]]=1,"Controlled","Not Controlled")</f>
        <v>Not Controlled</v>
      </c>
      <c r="R274">
        <f t="shared" si="12"/>
        <v>9</v>
      </c>
      <c r="S274">
        <f t="shared" si="13"/>
        <v>5</v>
      </c>
      <c r="T274" s="11" t="str">
        <f t="shared" si="14"/>
        <v>40-49</v>
      </c>
    </row>
    <row r="275" spans="1:20" x14ac:dyDescent="0.35">
      <c r="A275" t="s">
        <v>284</v>
      </c>
      <c r="B275">
        <v>67</v>
      </c>
      <c r="C275" t="s">
        <v>1</v>
      </c>
      <c r="D275">
        <v>0</v>
      </c>
      <c r="E275">
        <v>1</v>
      </c>
      <c r="F275">
        <v>1</v>
      </c>
      <c r="G275">
        <v>0</v>
      </c>
      <c r="H275">
        <v>173</v>
      </c>
      <c r="I275">
        <v>99</v>
      </c>
      <c r="J275" t="s">
        <v>19</v>
      </c>
      <c r="K275" t="s">
        <v>15</v>
      </c>
      <c r="L275">
        <v>154</v>
      </c>
      <c r="M275">
        <v>88</v>
      </c>
      <c r="N275">
        <v>0</v>
      </c>
      <c r="O275">
        <v>3</v>
      </c>
      <c r="P275" s="1">
        <v>45501</v>
      </c>
      <c r="Q275" t="str">
        <f>IF(Hypertension_data[[#This Row],[BP_Controlled_After_3_Months]]=1,"Controlled","Not Controlled")</f>
        <v>Not Controlled</v>
      </c>
      <c r="R275">
        <f t="shared" si="12"/>
        <v>19</v>
      </c>
      <c r="S275">
        <f t="shared" si="13"/>
        <v>11</v>
      </c>
      <c r="T275" s="11" t="str">
        <f t="shared" si="14"/>
        <v>60-69</v>
      </c>
    </row>
    <row r="276" spans="1:20" x14ac:dyDescent="0.35">
      <c r="A276" t="s">
        <v>285</v>
      </c>
      <c r="B276">
        <v>66</v>
      </c>
      <c r="C276" t="s">
        <v>12</v>
      </c>
      <c r="D276">
        <v>1</v>
      </c>
      <c r="E276">
        <v>0</v>
      </c>
      <c r="F276">
        <v>1</v>
      </c>
      <c r="G276">
        <v>1</v>
      </c>
      <c r="H276">
        <v>171</v>
      </c>
      <c r="I276">
        <v>100</v>
      </c>
      <c r="J276" t="s">
        <v>13</v>
      </c>
      <c r="K276" t="s">
        <v>15</v>
      </c>
      <c r="L276">
        <v>141</v>
      </c>
      <c r="M276">
        <v>82</v>
      </c>
      <c r="N276">
        <v>0</v>
      </c>
      <c r="O276">
        <v>4</v>
      </c>
      <c r="P276" s="1">
        <v>45432</v>
      </c>
      <c r="Q276" t="str">
        <f>IF(Hypertension_data[[#This Row],[BP_Controlled_After_3_Months]]=1,"Controlled","Not Controlled")</f>
        <v>Not Controlled</v>
      </c>
      <c r="R276">
        <f t="shared" si="12"/>
        <v>30</v>
      </c>
      <c r="S276">
        <f t="shared" si="13"/>
        <v>18</v>
      </c>
      <c r="T276" s="11" t="str">
        <f t="shared" si="14"/>
        <v>60-69</v>
      </c>
    </row>
    <row r="277" spans="1:20" x14ac:dyDescent="0.35">
      <c r="A277" t="s">
        <v>286</v>
      </c>
      <c r="B277">
        <v>43</v>
      </c>
      <c r="C277" t="s">
        <v>1</v>
      </c>
      <c r="D277">
        <v>1</v>
      </c>
      <c r="E277">
        <v>0</v>
      </c>
      <c r="F277">
        <v>1</v>
      </c>
      <c r="G277">
        <v>1</v>
      </c>
      <c r="H277">
        <v>179</v>
      </c>
      <c r="I277">
        <v>103</v>
      </c>
      <c r="J277" t="s">
        <v>13</v>
      </c>
      <c r="K277" t="s">
        <v>6</v>
      </c>
      <c r="L277">
        <v>157</v>
      </c>
      <c r="M277">
        <v>90</v>
      </c>
      <c r="N277">
        <v>0</v>
      </c>
      <c r="O277">
        <v>1</v>
      </c>
      <c r="P277" s="1">
        <v>45311</v>
      </c>
      <c r="Q277" t="str">
        <f>IF(Hypertension_data[[#This Row],[BP_Controlled_After_3_Months]]=1,"Controlled","Not Controlled")</f>
        <v>Not Controlled</v>
      </c>
      <c r="R277">
        <f t="shared" si="12"/>
        <v>22</v>
      </c>
      <c r="S277">
        <f t="shared" si="13"/>
        <v>13</v>
      </c>
      <c r="T277" s="11" t="str">
        <f t="shared" si="14"/>
        <v>40-49</v>
      </c>
    </row>
    <row r="278" spans="1:20" x14ac:dyDescent="0.35">
      <c r="A278" t="s">
        <v>287</v>
      </c>
      <c r="B278">
        <v>64</v>
      </c>
      <c r="C278" t="s">
        <v>1</v>
      </c>
      <c r="D278">
        <v>0</v>
      </c>
      <c r="E278">
        <v>1</v>
      </c>
      <c r="F278">
        <v>0</v>
      </c>
      <c r="G278">
        <v>1</v>
      </c>
      <c r="H278">
        <v>141</v>
      </c>
      <c r="I278">
        <v>111</v>
      </c>
      <c r="J278" t="s">
        <v>2</v>
      </c>
      <c r="K278" t="s">
        <v>3</v>
      </c>
      <c r="L278">
        <v>136</v>
      </c>
      <c r="M278">
        <v>108</v>
      </c>
      <c r="N278">
        <v>0</v>
      </c>
      <c r="O278">
        <v>3</v>
      </c>
      <c r="P278" s="1">
        <v>45358</v>
      </c>
      <c r="Q278" t="str">
        <f>IF(Hypertension_data[[#This Row],[BP_Controlled_After_3_Months]]=1,"Controlled","Not Controlled")</f>
        <v>Not Controlled</v>
      </c>
      <c r="R278">
        <f t="shared" si="12"/>
        <v>5</v>
      </c>
      <c r="S278">
        <f t="shared" si="13"/>
        <v>3</v>
      </c>
      <c r="T278" s="11" t="str">
        <f t="shared" si="14"/>
        <v>60-69</v>
      </c>
    </row>
    <row r="279" spans="1:20" x14ac:dyDescent="0.35">
      <c r="A279" t="s">
        <v>288</v>
      </c>
      <c r="B279">
        <v>36</v>
      </c>
      <c r="C279" t="s">
        <v>12</v>
      </c>
      <c r="D279">
        <v>0</v>
      </c>
      <c r="E279">
        <v>1</v>
      </c>
      <c r="F279">
        <v>1</v>
      </c>
      <c r="G279">
        <v>1</v>
      </c>
      <c r="H279">
        <v>159</v>
      </c>
      <c r="I279">
        <v>120</v>
      </c>
      <c r="J279" t="s">
        <v>8</v>
      </c>
      <c r="K279" t="s">
        <v>6</v>
      </c>
      <c r="L279">
        <v>145</v>
      </c>
      <c r="M279">
        <v>112</v>
      </c>
      <c r="N279">
        <v>0</v>
      </c>
      <c r="O279">
        <v>2</v>
      </c>
      <c r="P279" s="1">
        <v>45467</v>
      </c>
      <c r="Q279" t="str">
        <f>IF(Hypertension_data[[#This Row],[BP_Controlled_After_3_Months]]=1,"Controlled","Not Controlled")</f>
        <v>Not Controlled</v>
      </c>
      <c r="R279">
        <f t="shared" si="12"/>
        <v>14</v>
      </c>
      <c r="S279">
        <f t="shared" si="13"/>
        <v>8</v>
      </c>
      <c r="T279" s="11" t="str">
        <f t="shared" si="14"/>
        <v>30-39</v>
      </c>
    </row>
    <row r="280" spans="1:20" x14ac:dyDescent="0.35">
      <c r="A280" t="s">
        <v>289</v>
      </c>
      <c r="B280">
        <v>61</v>
      </c>
      <c r="C280" t="s">
        <v>12</v>
      </c>
      <c r="D280">
        <v>1</v>
      </c>
      <c r="E280">
        <v>1</v>
      </c>
      <c r="F280">
        <v>0</v>
      </c>
      <c r="G280">
        <v>1</v>
      </c>
      <c r="H280">
        <v>154</v>
      </c>
      <c r="I280">
        <v>97</v>
      </c>
      <c r="J280" t="s">
        <v>13</v>
      </c>
      <c r="K280" t="s">
        <v>15</v>
      </c>
      <c r="L280">
        <v>124</v>
      </c>
      <c r="M280">
        <v>79</v>
      </c>
      <c r="N280">
        <v>1</v>
      </c>
      <c r="O280">
        <v>2</v>
      </c>
      <c r="P280" s="1">
        <v>45355</v>
      </c>
      <c r="Q280" t="str">
        <f>IF(Hypertension_data[[#This Row],[BP_Controlled_After_3_Months]]=1,"Controlled","Not Controlled")</f>
        <v>Controlled</v>
      </c>
      <c r="R280">
        <f t="shared" si="12"/>
        <v>30</v>
      </c>
      <c r="S280">
        <f t="shared" si="13"/>
        <v>18</v>
      </c>
      <c r="T280" s="11" t="str">
        <f t="shared" si="14"/>
        <v>60-69</v>
      </c>
    </row>
    <row r="281" spans="1:20" x14ac:dyDescent="0.35">
      <c r="A281" t="s">
        <v>290</v>
      </c>
      <c r="B281">
        <v>53</v>
      </c>
      <c r="C281" t="s">
        <v>1</v>
      </c>
      <c r="D281">
        <v>0</v>
      </c>
      <c r="E281">
        <v>0</v>
      </c>
      <c r="F281">
        <v>1</v>
      </c>
      <c r="G281">
        <v>1</v>
      </c>
      <c r="H281">
        <v>182</v>
      </c>
      <c r="I281">
        <v>93</v>
      </c>
      <c r="J281" t="s">
        <v>13</v>
      </c>
      <c r="K281" t="s">
        <v>15</v>
      </c>
      <c r="L281">
        <v>158</v>
      </c>
      <c r="M281">
        <v>79</v>
      </c>
      <c r="N281">
        <v>0</v>
      </c>
      <c r="O281">
        <v>4</v>
      </c>
      <c r="P281" s="1">
        <v>45355</v>
      </c>
      <c r="Q281" t="str">
        <f>IF(Hypertension_data[[#This Row],[BP_Controlled_After_3_Months]]=1,"Controlled","Not Controlled")</f>
        <v>Not Controlled</v>
      </c>
      <c r="R281">
        <f t="shared" si="12"/>
        <v>24</v>
      </c>
      <c r="S281">
        <f t="shared" si="13"/>
        <v>14</v>
      </c>
      <c r="T281" s="11" t="str">
        <f t="shared" si="14"/>
        <v>50-59</v>
      </c>
    </row>
    <row r="282" spans="1:20" x14ac:dyDescent="0.35">
      <c r="A282" t="s">
        <v>291</v>
      </c>
      <c r="B282">
        <v>65</v>
      </c>
      <c r="C282" t="s">
        <v>12</v>
      </c>
      <c r="D282">
        <v>0</v>
      </c>
      <c r="E282">
        <v>1</v>
      </c>
      <c r="F282">
        <v>1</v>
      </c>
      <c r="G282">
        <v>1</v>
      </c>
      <c r="H282">
        <v>159</v>
      </c>
      <c r="I282">
        <v>103</v>
      </c>
      <c r="J282" t="s">
        <v>13</v>
      </c>
      <c r="K282" t="s">
        <v>15</v>
      </c>
      <c r="L282">
        <v>126</v>
      </c>
      <c r="M282">
        <v>84</v>
      </c>
      <c r="N282">
        <v>1</v>
      </c>
      <c r="O282">
        <v>2</v>
      </c>
      <c r="P282" s="1">
        <v>45506</v>
      </c>
      <c r="Q282" t="str">
        <f>IF(Hypertension_data[[#This Row],[BP_Controlled_After_3_Months]]=1,"Controlled","Not Controlled")</f>
        <v>Controlled</v>
      </c>
      <c r="R282">
        <f t="shared" si="12"/>
        <v>33</v>
      </c>
      <c r="S282">
        <f t="shared" si="13"/>
        <v>19</v>
      </c>
      <c r="T282" s="11" t="str">
        <f t="shared" si="14"/>
        <v>60-69</v>
      </c>
    </row>
    <row r="283" spans="1:20" x14ac:dyDescent="0.35">
      <c r="A283" t="s">
        <v>292</v>
      </c>
      <c r="B283">
        <v>83</v>
      </c>
      <c r="C283" t="s">
        <v>1</v>
      </c>
      <c r="D283">
        <v>1</v>
      </c>
      <c r="E283">
        <v>0</v>
      </c>
      <c r="F283">
        <v>1</v>
      </c>
      <c r="G283">
        <v>1</v>
      </c>
      <c r="H283">
        <v>171</v>
      </c>
      <c r="I283">
        <v>96</v>
      </c>
      <c r="J283" t="s">
        <v>5</v>
      </c>
      <c r="K283" t="s">
        <v>15</v>
      </c>
      <c r="L283">
        <v>148</v>
      </c>
      <c r="M283">
        <v>83</v>
      </c>
      <c r="N283">
        <v>0</v>
      </c>
      <c r="O283">
        <v>3</v>
      </c>
      <c r="P283" s="1">
        <v>45652</v>
      </c>
      <c r="Q283" t="str">
        <f>IF(Hypertension_data[[#This Row],[BP_Controlled_After_3_Months]]=1,"Controlled","Not Controlled")</f>
        <v>Not Controlled</v>
      </c>
      <c r="R283">
        <f t="shared" si="12"/>
        <v>23</v>
      </c>
      <c r="S283">
        <f t="shared" si="13"/>
        <v>13</v>
      </c>
      <c r="T283" s="11" t="str">
        <f t="shared" si="14"/>
        <v>70+</v>
      </c>
    </row>
    <row r="284" spans="1:20" x14ac:dyDescent="0.35">
      <c r="A284" t="s">
        <v>293</v>
      </c>
      <c r="B284">
        <v>56</v>
      </c>
      <c r="C284" t="s">
        <v>12</v>
      </c>
      <c r="D284">
        <v>1</v>
      </c>
      <c r="E284">
        <v>1</v>
      </c>
      <c r="F284">
        <v>0</v>
      </c>
      <c r="G284">
        <v>1</v>
      </c>
      <c r="H284">
        <v>184</v>
      </c>
      <c r="I284">
        <v>119</v>
      </c>
      <c r="J284" t="s">
        <v>19</v>
      </c>
      <c r="K284" t="s">
        <v>6</v>
      </c>
      <c r="L284">
        <v>176</v>
      </c>
      <c r="M284">
        <v>115</v>
      </c>
      <c r="N284">
        <v>0</v>
      </c>
      <c r="O284">
        <v>6</v>
      </c>
      <c r="P284" s="1">
        <v>45337</v>
      </c>
      <c r="Q284" t="str">
        <f>IF(Hypertension_data[[#This Row],[BP_Controlled_After_3_Months]]=1,"Controlled","Not Controlled")</f>
        <v>Not Controlled</v>
      </c>
      <c r="R284">
        <f t="shared" si="12"/>
        <v>8</v>
      </c>
      <c r="S284">
        <f t="shared" si="13"/>
        <v>4</v>
      </c>
      <c r="T284" s="11" t="str">
        <f t="shared" si="14"/>
        <v>50-59</v>
      </c>
    </row>
    <row r="285" spans="1:20" x14ac:dyDescent="0.35">
      <c r="A285" t="s">
        <v>294</v>
      </c>
      <c r="B285">
        <v>37</v>
      </c>
      <c r="C285" t="s">
        <v>12</v>
      </c>
      <c r="D285">
        <v>1</v>
      </c>
      <c r="E285">
        <v>1</v>
      </c>
      <c r="F285">
        <v>1</v>
      </c>
      <c r="G285">
        <v>1</v>
      </c>
      <c r="H285">
        <v>156</v>
      </c>
      <c r="I285">
        <v>110</v>
      </c>
      <c r="J285" t="s">
        <v>10</v>
      </c>
      <c r="K285" t="s">
        <v>6</v>
      </c>
      <c r="L285">
        <v>144</v>
      </c>
      <c r="M285">
        <v>103</v>
      </c>
      <c r="N285">
        <v>0</v>
      </c>
      <c r="O285">
        <v>1</v>
      </c>
      <c r="P285" s="1">
        <v>45343</v>
      </c>
      <c r="Q285" t="str">
        <f>IF(Hypertension_data[[#This Row],[BP_Controlled_After_3_Months]]=1,"Controlled","Not Controlled")</f>
        <v>Not Controlled</v>
      </c>
      <c r="R285">
        <f t="shared" si="12"/>
        <v>12</v>
      </c>
      <c r="S285">
        <f t="shared" si="13"/>
        <v>7</v>
      </c>
      <c r="T285" s="11" t="str">
        <f t="shared" si="14"/>
        <v>30-39</v>
      </c>
    </row>
    <row r="286" spans="1:20" x14ac:dyDescent="0.35">
      <c r="A286" t="s">
        <v>295</v>
      </c>
      <c r="B286">
        <v>82</v>
      </c>
      <c r="C286" t="s">
        <v>1</v>
      </c>
      <c r="D286">
        <v>1</v>
      </c>
      <c r="E286">
        <v>0</v>
      </c>
      <c r="F286">
        <v>0</v>
      </c>
      <c r="G286">
        <v>0</v>
      </c>
      <c r="H286">
        <v>167</v>
      </c>
      <c r="I286">
        <v>113</v>
      </c>
      <c r="J286" t="s">
        <v>2</v>
      </c>
      <c r="K286" t="s">
        <v>15</v>
      </c>
      <c r="L286">
        <v>151</v>
      </c>
      <c r="M286">
        <v>104</v>
      </c>
      <c r="N286">
        <v>0</v>
      </c>
      <c r="O286">
        <v>6</v>
      </c>
      <c r="P286" s="1">
        <v>45623</v>
      </c>
      <c r="Q286" t="str">
        <f>IF(Hypertension_data[[#This Row],[BP_Controlled_After_3_Months]]=1,"Controlled","Not Controlled")</f>
        <v>Not Controlled</v>
      </c>
      <c r="R286">
        <f t="shared" si="12"/>
        <v>16</v>
      </c>
      <c r="S286">
        <f t="shared" si="13"/>
        <v>9</v>
      </c>
      <c r="T286" s="11" t="str">
        <f t="shared" si="14"/>
        <v>70+</v>
      </c>
    </row>
    <row r="287" spans="1:20" x14ac:dyDescent="0.35">
      <c r="A287" t="s">
        <v>296</v>
      </c>
      <c r="B287">
        <v>40</v>
      </c>
      <c r="C287" t="s">
        <v>12</v>
      </c>
      <c r="D287">
        <v>0</v>
      </c>
      <c r="E287">
        <v>0</v>
      </c>
      <c r="F287">
        <v>0</v>
      </c>
      <c r="G287">
        <v>1</v>
      </c>
      <c r="H287">
        <v>163</v>
      </c>
      <c r="I287">
        <v>116</v>
      </c>
      <c r="J287" t="s">
        <v>8</v>
      </c>
      <c r="K287" t="s">
        <v>15</v>
      </c>
      <c r="L287">
        <v>145</v>
      </c>
      <c r="M287">
        <v>106</v>
      </c>
      <c r="N287">
        <v>0</v>
      </c>
      <c r="O287">
        <v>4</v>
      </c>
      <c r="P287" s="1">
        <v>45431</v>
      </c>
      <c r="Q287" t="str">
        <f>IF(Hypertension_data[[#This Row],[BP_Controlled_After_3_Months]]=1,"Controlled","Not Controlled")</f>
        <v>Not Controlled</v>
      </c>
      <c r="R287">
        <f t="shared" si="12"/>
        <v>18</v>
      </c>
      <c r="S287">
        <f t="shared" si="13"/>
        <v>10</v>
      </c>
      <c r="T287" s="11" t="str">
        <f t="shared" si="14"/>
        <v>40-49</v>
      </c>
    </row>
    <row r="288" spans="1:20" x14ac:dyDescent="0.35">
      <c r="A288" t="s">
        <v>297</v>
      </c>
      <c r="B288">
        <v>83</v>
      </c>
      <c r="C288" t="s">
        <v>12</v>
      </c>
      <c r="D288">
        <v>0</v>
      </c>
      <c r="E288">
        <v>0</v>
      </c>
      <c r="F288">
        <v>1</v>
      </c>
      <c r="G288">
        <v>1</v>
      </c>
      <c r="H288">
        <v>148</v>
      </c>
      <c r="I288">
        <v>112</v>
      </c>
      <c r="J288" t="s">
        <v>13</v>
      </c>
      <c r="K288" t="s">
        <v>15</v>
      </c>
      <c r="L288">
        <v>119</v>
      </c>
      <c r="M288">
        <v>95</v>
      </c>
      <c r="N288">
        <v>0</v>
      </c>
      <c r="O288">
        <v>4</v>
      </c>
      <c r="P288" s="1">
        <v>45583</v>
      </c>
      <c r="Q288" t="str">
        <f>IF(Hypertension_data[[#This Row],[BP_Controlled_After_3_Months]]=1,"Controlled","Not Controlled")</f>
        <v>Not Controlled</v>
      </c>
      <c r="R288">
        <f t="shared" si="12"/>
        <v>29</v>
      </c>
      <c r="S288">
        <f t="shared" si="13"/>
        <v>17</v>
      </c>
      <c r="T288" s="11" t="str">
        <f t="shared" si="14"/>
        <v>70+</v>
      </c>
    </row>
    <row r="289" spans="1:20" x14ac:dyDescent="0.35">
      <c r="A289" t="s">
        <v>298</v>
      </c>
      <c r="B289">
        <v>73</v>
      </c>
      <c r="C289" t="s">
        <v>12</v>
      </c>
      <c r="D289">
        <v>1</v>
      </c>
      <c r="E289">
        <v>0</v>
      </c>
      <c r="F289">
        <v>0</v>
      </c>
      <c r="G289">
        <v>1</v>
      </c>
      <c r="H289">
        <v>183</v>
      </c>
      <c r="I289">
        <v>118</v>
      </c>
      <c r="J289" t="s">
        <v>13</v>
      </c>
      <c r="K289" t="s">
        <v>15</v>
      </c>
      <c r="L289">
        <v>145</v>
      </c>
      <c r="M289">
        <v>96</v>
      </c>
      <c r="N289">
        <v>0</v>
      </c>
      <c r="O289">
        <v>4</v>
      </c>
      <c r="P289" s="1">
        <v>45315</v>
      </c>
      <c r="Q289" t="str">
        <f>IF(Hypertension_data[[#This Row],[BP_Controlled_After_3_Months]]=1,"Controlled","Not Controlled")</f>
        <v>Not Controlled</v>
      </c>
      <c r="R289">
        <f t="shared" si="12"/>
        <v>38</v>
      </c>
      <c r="S289">
        <f t="shared" si="13"/>
        <v>22</v>
      </c>
      <c r="T289" s="11" t="str">
        <f t="shared" si="14"/>
        <v>70+</v>
      </c>
    </row>
    <row r="290" spans="1:20" x14ac:dyDescent="0.35">
      <c r="A290" t="s">
        <v>299</v>
      </c>
      <c r="B290">
        <v>34</v>
      </c>
      <c r="C290" t="s">
        <v>12</v>
      </c>
      <c r="D290">
        <v>0</v>
      </c>
      <c r="E290">
        <v>1</v>
      </c>
      <c r="F290">
        <v>1</v>
      </c>
      <c r="G290">
        <v>0</v>
      </c>
      <c r="H290">
        <v>173</v>
      </c>
      <c r="I290">
        <v>106</v>
      </c>
      <c r="J290" t="s">
        <v>13</v>
      </c>
      <c r="K290" t="s">
        <v>3</v>
      </c>
      <c r="L290">
        <v>153</v>
      </c>
      <c r="M290">
        <v>94</v>
      </c>
      <c r="N290">
        <v>0</v>
      </c>
      <c r="O290">
        <v>2</v>
      </c>
      <c r="P290" s="1">
        <v>45538</v>
      </c>
      <c r="Q290" t="str">
        <f>IF(Hypertension_data[[#This Row],[BP_Controlled_After_3_Months]]=1,"Controlled","Not Controlled")</f>
        <v>Not Controlled</v>
      </c>
      <c r="R290">
        <f t="shared" si="12"/>
        <v>20</v>
      </c>
      <c r="S290">
        <f t="shared" si="13"/>
        <v>12</v>
      </c>
      <c r="T290" s="11" t="str">
        <f t="shared" si="14"/>
        <v>30-39</v>
      </c>
    </row>
    <row r="291" spans="1:20" x14ac:dyDescent="0.35">
      <c r="A291" t="s">
        <v>300</v>
      </c>
      <c r="B291">
        <v>52</v>
      </c>
      <c r="C291" t="s">
        <v>12</v>
      </c>
      <c r="D291">
        <v>1</v>
      </c>
      <c r="E291">
        <v>1</v>
      </c>
      <c r="F291">
        <v>1</v>
      </c>
      <c r="G291">
        <v>1</v>
      </c>
      <c r="H291">
        <v>172</v>
      </c>
      <c r="I291">
        <v>117</v>
      </c>
      <c r="J291" t="s">
        <v>19</v>
      </c>
      <c r="K291" t="s">
        <v>6</v>
      </c>
      <c r="L291">
        <v>163</v>
      </c>
      <c r="M291">
        <v>112</v>
      </c>
      <c r="N291">
        <v>0</v>
      </c>
      <c r="O291">
        <v>3</v>
      </c>
      <c r="P291" s="1">
        <v>45415</v>
      </c>
      <c r="Q291" t="str">
        <f>IF(Hypertension_data[[#This Row],[BP_Controlled_After_3_Months]]=1,"Controlled","Not Controlled")</f>
        <v>Not Controlled</v>
      </c>
      <c r="R291">
        <f t="shared" si="12"/>
        <v>9</v>
      </c>
      <c r="S291">
        <f t="shared" si="13"/>
        <v>5</v>
      </c>
      <c r="T291" s="11" t="str">
        <f t="shared" si="14"/>
        <v>50-59</v>
      </c>
    </row>
    <row r="292" spans="1:20" x14ac:dyDescent="0.35">
      <c r="A292" t="s">
        <v>301</v>
      </c>
      <c r="B292">
        <v>51</v>
      </c>
      <c r="C292" t="s">
        <v>12</v>
      </c>
      <c r="D292">
        <v>1</v>
      </c>
      <c r="E292">
        <v>1</v>
      </c>
      <c r="F292">
        <v>0</v>
      </c>
      <c r="G292">
        <v>0</v>
      </c>
      <c r="H292">
        <v>155</v>
      </c>
      <c r="I292">
        <v>92</v>
      </c>
      <c r="J292" t="s">
        <v>19</v>
      </c>
      <c r="K292" t="s">
        <v>6</v>
      </c>
      <c r="L292">
        <v>146</v>
      </c>
      <c r="M292">
        <v>87</v>
      </c>
      <c r="N292">
        <v>0</v>
      </c>
      <c r="O292">
        <v>4</v>
      </c>
      <c r="P292" s="1">
        <v>45453</v>
      </c>
      <c r="Q292" t="str">
        <f>IF(Hypertension_data[[#This Row],[BP_Controlled_After_3_Months]]=1,"Controlled","Not Controlled")</f>
        <v>Not Controlled</v>
      </c>
      <c r="R292">
        <f t="shared" si="12"/>
        <v>9</v>
      </c>
      <c r="S292">
        <f t="shared" si="13"/>
        <v>5</v>
      </c>
      <c r="T292" s="11" t="str">
        <f t="shared" si="14"/>
        <v>50-59</v>
      </c>
    </row>
    <row r="293" spans="1:20" x14ac:dyDescent="0.35">
      <c r="A293" t="s">
        <v>302</v>
      </c>
      <c r="B293">
        <v>37</v>
      </c>
      <c r="C293" t="s">
        <v>12</v>
      </c>
      <c r="D293">
        <v>1</v>
      </c>
      <c r="E293">
        <v>1</v>
      </c>
      <c r="F293">
        <v>0</v>
      </c>
      <c r="G293">
        <v>0</v>
      </c>
      <c r="H293">
        <v>142</v>
      </c>
      <c r="I293">
        <v>107</v>
      </c>
      <c r="J293" t="s">
        <v>5</v>
      </c>
      <c r="K293" t="s">
        <v>15</v>
      </c>
      <c r="L293">
        <v>125</v>
      </c>
      <c r="M293">
        <v>97</v>
      </c>
      <c r="N293">
        <v>0</v>
      </c>
      <c r="O293">
        <v>6</v>
      </c>
      <c r="P293" s="1">
        <v>45447</v>
      </c>
      <c r="Q293" t="str">
        <f>IF(Hypertension_data[[#This Row],[BP_Controlled_After_3_Months]]=1,"Controlled","Not Controlled")</f>
        <v>Not Controlled</v>
      </c>
      <c r="R293">
        <f t="shared" si="12"/>
        <v>17</v>
      </c>
      <c r="S293">
        <f t="shared" si="13"/>
        <v>10</v>
      </c>
      <c r="T293" s="11" t="str">
        <f t="shared" si="14"/>
        <v>30-39</v>
      </c>
    </row>
    <row r="294" spans="1:20" x14ac:dyDescent="0.35">
      <c r="A294" t="s">
        <v>303</v>
      </c>
      <c r="B294">
        <v>62</v>
      </c>
      <c r="C294" t="s">
        <v>1</v>
      </c>
      <c r="D294">
        <v>0</v>
      </c>
      <c r="E294">
        <v>0</v>
      </c>
      <c r="F294">
        <v>0</v>
      </c>
      <c r="G294">
        <v>1</v>
      </c>
      <c r="H294">
        <v>154</v>
      </c>
      <c r="I294">
        <v>117</v>
      </c>
      <c r="J294" t="s">
        <v>19</v>
      </c>
      <c r="K294" t="s">
        <v>6</v>
      </c>
      <c r="L294">
        <v>136</v>
      </c>
      <c r="M294">
        <v>107</v>
      </c>
      <c r="N294">
        <v>0</v>
      </c>
      <c r="O294">
        <v>6</v>
      </c>
      <c r="P294" s="1">
        <v>45523</v>
      </c>
      <c r="Q294" t="str">
        <f>IF(Hypertension_data[[#This Row],[BP_Controlled_After_3_Months]]=1,"Controlled","Not Controlled")</f>
        <v>Not Controlled</v>
      </c>
      <c r="R294">
        <f t="shared" si="12"/>
        <v>18</v>
      </c>
      <c r="S294">
        <f t="shared" si="13"/>
        <v>10</v>
      </c>
      <c r="T294" s="11" t="str">
        <f t="shared" si="14"/>
        <v>60-69</v>
      </c>
    </row>
    <row r="295" spans="1:20" x14ac:dyDescent="0.35">
      <c r="A295" t="s">
        <v>304</v>
      </c>
      <c r="B295">
        <v>37</v>
      </c>
      <c r="C295" t="s">
        <v>1</v>
      </c>
      <c r="D295">
        <v>1</v>
      </c>
      <c r="E295">
        <v>1</v>
      </c>
      <c r="F295">
        <v>0</v>
      </c>
      <c r="G295">
        <v>0</v>
      </c>
      <c r="H295">
        <v>180</v>
      </c>
      <c r="I295">
        <v>120</v>
      </c>
      <c r="J295" t="s">
        <v>8</v>
      </c>
      <c r="K295" t="s">
        <v>3</v>
      </c>
      <c r="L295">
        <v>180</v>
      </c>
      <c r="M295">
        <v>120</v>
      </c>
      <c r="N295">
        <v>0</v>
      </c>
      <c r="O295">
        <v>2</v>
      </c>
      <c r="P295" s="1">
        <v>45544</v>
      </c>
      <c r="Q295" t="str">
        <f>IF(Hypertension_data[[#This Row],[BP_Controlled_After_3_Months]]=1,"Controlled","Not Controlled")</f>
        <v>Not Controlled</v>
      </c>
      <c r="R295">
        <f t="shared" si="12"/>
        <v>0</v>
      </c>
      <c r="S295">
        <f t="shared" si="13"/>
        <v>0</v>
      </c>
      <c r="T295" s="11" t="str">
        <f t="shared" si="14"/>
        <v>30-39</v>
      </c>
    </row>
    <row r="296" spans="1:20" x14ac:dyDescent="0.35">
      <c r="A296" t="s">
        <v>305</v>
      </c>
      <c r="B296">
        <v>38</v>
      </c>
      <c r="C296" t="s">
        <v>12</v>
      </c>
      <c r="D296">
        <v>1</v>
      </c>
      <c r="E296">
        <v>0</v>
      </c>
      <c r="F296">
        <v>1</v>
      </c>
      <c r="G296">
        <v>1</v>
      </c>
      <c r="H296">
        <v>147</v>
      </c>
      <c r="I296">
        <v>119</v>
      </c>
      <c r="J296" t="s">
        <v>19</v>
      </c>
      <c r="K296" t="s">
        <v>15</v>
      </c>
      <c r="L296">
        <v>118</v>
      </c>
      <c r="M296">
        <v>102</v>
      </c>
      <c r="N296">
        <v>0</v>
      </c>
      <c r="O296">
        <v>1</v>
      </c>
      <c r="P296" s="1">
        <v>45504</v>
      </c>
      <c r="Q296" t="str">
        <f>IF(Hypertension_data[[#This Row],[BP_Controlled_After_3_Months]]=1,"Controlled","Not Controlled")</f>
        <v>Not Controlled</v>
      </c>
      <c r="R296">
        <f t="shared" si="12"/>
        <v>29</v>
      </c>
      <c r="S296">
        <f t="shared" si="13"/>
        <v>17</v>
      </c>
      <c r="T296" s="11" t="str">
        <f t="shared" si="14"/>
        <v>30-39</v>
      </c>
    </row>
    <row r="297" spans="1:20" x14ac:dyDescent="0.35">
      <c r="A297" t="s">
        <v>306</v>
      </c>
      <c r="B297">
        <v>32</v>
      </c>
      <c r="C297" t="s">
        <v>1</v>
      </c>
      <c r="D297">
        <v>0</v>
      </c>
      <c r="E297">
        <v>0</v>
      </c>
      <c r="F297">
        <v>1</v>
      </c>
      <c r="G297">
        <v>0</v>
      </c>
      <c r="H297">
        <v>140</v>
      </c>
      <c r="I297">
        <v>106</v>
      </c>
      <c r="J297" t="s">
        <v>13</v>
      </c>
      <c r="K297" t="s">
        <v>15</v>
      </c>
      <c r="L297">
        <v>110</v>
      </c>
      <c r="M297">
        <v>84</v>
      </c>
      <c r="N297">
        <v>1</v>
      </c>
      <c r="O297">
        <v>2</v>
      </c>
      <c r="P297" s="1">
        <v>45646</v>
      </c>
      <c r="Q297" t="str">
        <f>IF(Hypertension_data[[#This Row],[BP_Controlled_After_3_Months]]=1,"Controlled","Not Controlled")</f>
        <v>Controlled</v>
      </c>
      <c r="R297">
        <f t="shared" si="12"/>
        <v>30</v>
      </c>
      <c r="S297">
        <f t="shared" si="13"/>
        <v>22</v>
      </c>
      <c r="T297" s="11" t="str">
        <f t="shared" si="14"/>
        <v>30-39</v>
      </c>
    </row>
    <row r="298" spans="1:20" x14ac:dyDescent="0.35">
      <c r="A298" t="s">
        <v>307</v>
      </c>
      <c r="B298">
        <v>67</v>
      </c>
      <c r="C298" t="s">
        <v>1</v>
      </c>
      <c r="D298">
        <v>1</v>
      </c>
      <c r="E298">
        <v>1</v>
      </c>
      <c r="F298">
        <v>0</v>
      </c>
      <c r="G298">
        <v>0</v>
      </c>
      <c r="H298">
        <v>172</v>
      </c>
      <c r="I298">
        <v>118</v>
      </c>
      <c r="J298" t="s">
        <v>19</v>
      </c>
      <c r="K298" t="s">
        <v>6</v>
      </c>
      <c r="L298">
        <v>160</v>
      </c>
      <c r="M298">
        <v>111</v>
      </c>
      <c r="N298">
        <v>0</v>
      </c>
      <c r="O298">
        <v>3</v>
      </c>
      <c r="P298" s="1">
        <v>45442</v>
      </c>
      <c r="Q298" t="str">
        <f>IF(Hypertension_data[[#This Row],[BP_Controlled_After_3_Months]]=1,"Controlled","Not Controlled")</f>
        <v>Not Controlled</v>
      </c>
      <c r="R298">
        <f t="shared" si="12"/>
        <v>12</v>
      </c>
      <c r="S298">
        <f t="shared" si="13"/>
        <v>7</v>
      </c>
      <c r="T298" s="11" t="str">
        <f t="shared" si="14"/>
        <v>60-69</v>
      </c>
    </row>
    <row r="299" spans="1:20" x14ac:dyDescent="0.35">
      <c r="A299" t="s">
        <v>308</v>
      </c>
      <c r="B299">
        <v>58</v>
      </c>
      <c r="C299" t="s">
        <v>1</v>
      </c>
      <c r="D299">
        <v>1</v>
      </c>
      <c r="E299">
        <v>0</v>
      </c>
      <c r="F299">
        <v>0</v>
      </c>
      <c r="G299">
        <v>0</v>
      </c>
      <c r="H299">
        <v>185</v>
      </c>
      <c r="I299">
        <v>113</v>
      </c>
      <c r="J299" t="s">
        <v>5</v>
      </c>
      <c r="K299" t="s">
        <v>3</v>
      </c>
      <c r="L299">
        <v>182</v>
      </c>
      <c r="M299">
        <v>112</v>
      </c>
      <c r="N299">
        <v>0</v>
      </c>
      <c r="O299">
        <v>5</v>
      </c>
      <c r="P299" s="1">
        <v>45657</v>
      </c>
      <c r="Q299" t="str">
        <f>IF(Hypertension_data[[#This Row],[BP_Controlled_After_3_Months]]=1,"Controlled","Not Controlled")</f>
        <v>Not Controlled</v>
      </c>
      <c r="R299">
        <f t="shared" si="12"/>
        <v>3</v>
      </c>
      <c r="S299">
        <f t="shared" si="13"/>
        <v>1</v>
      </c>
      <c r="T299" s="11" t="str">
        <f t="shared" si="14"/>
        <v>50-59</v>
      </c>
    </row>
    <row r="300" spans="1:20" x14ac:dyDescent="0.35">
      <c r="A300" t="s">
        <v>309</v>
      </c>
      <c r="B300">
        <v>48</v>
      </c>
      <c r="C300" t="s">
        <v>12</v>
      </c>
      <c r="D300">
        <v>1</v>
      </c>
      <c r="E300">
        <v>1</v>
      </c>
      <c r="F300">
        <v>0</v>
      </c>
      <c r="G300">
        <v>1</v>
      </c>
      <c r="H300">
        <v>188</v>
      </c>
      <c r="I300">
        <v>101</v>
      </c>
      <c r="J300" t="s">
        <v>5</v>
      </c>
      <c r="K300" t="s">
        <v>6</v>
      </c>
      <c r="L300">
        <v>170</v>
      </c>
      <c r="M300">
        <v>91</v>
      </c>
      <c r="N300">
        <v>0</v>
      </c>
      <c r="O300">
        <v>3</v>
      </c>
      <c r="P300" s="1">
        <v>45508</v>
      </c>
      <c r="Q300" t="str">
        <f>IF(Hypertension_data[[#This Row],[BP_Controlled_After_3_Months]]=1,"Controlled","Not Controlled")</f>
        <v>Not Controlled</v>
      </c>
      <c r="R300">
        <f t="shared" si="12"/>
        <v>18</v>
      </c>
      <c r="S300">
        <f t="shared" si="13"/>
        <v>10</v>
      </c>
      <c r="T300" s="11" t="str">
        <f t="shared" si="14"/>
        <v>40-49</v>
      </c>
    </row>
    <row r="301" spans="1:20" x14ac:dyDescent="0.35">
      <c r="A301" t="s">
        <v>310</v>
      </c>
      <c r="B301">
        <v>81</v>
      </c>
      <c r="C301" t="s">
        <v>1</v>
      </c>
      <c r="D301">
        <v>1</v>
      </c>
      <c r="E301">
        <v>1</v>
      </c>
      <c r="F301">
        <v>0</v>
      </c>
      <c r="G301">
        <v>1</v>
      </c>
      <c r="H301">
        <v>143</v>
      </c>
      <c r="I301">
        <v>111</v>
      </c>
      <c r="J301" t="s">
        <v>2</v>
      </c>
      <c r="K301" t="s">
        <v>15</v>
      </c>
      <c r="L301">
        <v>120</v>
      </c>
      <c r="M301">
        <v>98</v>
      </c>
      <c r="N301">
        <v>0</v>
      </c>
      <c r="O301">
        <v>6</v>
      </c>
      <c r="P301" s="1">
        <v>45420</v>
      </c>
      <c r="Q301" t="str">
        <f>IF(Hypertension_data[[#This Row],[BP_Controlled_After_3_Months]]=1,"Controlled","Not Controlled")</f>
        <v>Not Controlled</v>
      </c>
      <c r="R301">
        <f t="shared" si="12"/>
        <v>23</v>
      </c>
      <c r="S301">
        <f t="shared" si="13"/>
        <v>13</v>
      </c>
      <c r="T301" s="11" t="str">
        <f t="shared" si="14"/>
        <v>70+</v>
      </c>
    </row>
    <row r="302" spans="1:20" x14ac:dyDescent="0.35">
      <c r="A302" t="s">
        <v>311</v>
      </c>
      <c r="B302">
        <v>39</v>
      </c>
      <c r="C302" t="s">
        <v>1</v>
      </c>
      <c r="D302">
        <v>0</v>
      </c>
      <c r="E302">
        <v>1</v>
      </c>
      <c r="F302">
        <v>1</v>
      </c>
      <c r="G302">
        <v>0</v>
      </c>
      <c r="H302">
        <v>168</v>
      </c>
      <c r="I302">
        <v>93</v>
      </c>
      <c r="J302" t="s">
        <v>5</v>
      </c>
      <c r="K302" t="s">
        <v>3</v>
      </c>
      <c r="L302">
        <v>160</v>
      </c>
      <c r="M302">
        <v>89</v>
      </c>
      <c r="N302">
        <v>0</v>
      </c>
      <c r="O302">
        <v>4</v>
      </c>
      <c r="P302" s="1">
        <v>45413</v>
      </c>
      <c r="Q302" t="str">
        <f>IF(Hypertension_data[[#This Row],[BP_Controlled_After_3_Months]]=1,"Controlled","Not Controlled")</f>
        <v>Not Controlled</v>
      </c>
      <c r="R302">
        <f t="shared" si="12"/>
        <v>8</v>
      </c>
      <c r="S302">
        <f t="shared" si="13"/>
        <v>4</v>
      </c>
      <c r="T302" s="11" t="str">
        <f t="shared" si="14"/>
        <v>30-39</v>
      </c>
    </row>
    <row r="303" spans="1:20" x14ac:dyDescent="0.35">
      <c r="A303" t="s">
        <v>312</v>
      </c>
      <c r="B303">
        <v>62</v>
      </c>
      <c r="C303" t="s">
        <v>12</v>
      </c>
      <c r="D303">
        <v>1</v>
      </c>
      <c r="E303">
        <v>0</v>
      </c>
      <c r="F303">
        <v>0</v>
      </c>
      <c r="G303">
        <v>0</v>
      </c>
      <c r="H303">
        <v>190</v>
      </c>
      <c r="I303">
        <v>111</v>
      </c>
      <c r="J303" t="s">
        <v>8</v>
      </c>
      <c r="K303" t="s">
        <v>3</v>
      </c>
      <c r="L303">
        <v>186</v>
      </c>
      <c r="M303">
        <v>109</v>
      </c>
      <c r="N303">
        <v>0</v>
      </c>
      <c r="O303">
        <v>2</v>
      </c>
      <c r="P303" s="1">
        <v>45609</v>
      </c>
      <c r="Q303" t="str">
        <f>IF(Hypertension_data[[#This Row],[BP_Controlled_After_3_Months]]=1,"Controlled","Not Controlled")</f>
        <v>Not Controlled</v>
      </c>
      <c r="R303">
        <f t="shared" si="12"/>
        <v>4</v>
      </c>
      <c r="S303">
        <f t="shared" si="13"/>
        <v>2</v>
      </c>
      <c r="T303" s="11" t="str">
        <f t="shared" si="14"/>
        <v>60-69</v>
      </c>
    </row>
    <row r="304" spans="1:20" x14ac:dyDescent="0.35">
      <c r="A304" t="s">
        <v>313</v>
      </c>
      <c r="B304">
        <v>85</v>
      </c>
      <c r="C304" t="s">
        <v>12</v>
      </c>
      <c r="D304">
        <v>1</v>
      </c>
      <c r="E304">
        <v>0</v>
      </c>
      <c r="F304">
        <v>1</v>
      </c>
      <c r="G304">
        <v>1</v>
      </c>
      <c r="H304">
        <v>158</v>
      </c>
      <c r="I304">
        <v>104</v>
      </c>
      <c r="J304" t="s">
        <v>10</v>
      </c>
      <c r="K304" t="s">
        <v>3</v>
      </c>
      <c r="L304">
        <v>156</v>
      </c>
      <c r="M304">
        <v>103</v>
      </c>
      <c r="N304">
        <v>0</v>
      </c>
      <c r="O304">
        <v>6</v>
      </c>
      <c r="P304" s="1">
        <v>45555</v>
      </c>
      <c r="Q304" t="str">
        <f>IF(Hypertension_data[[#This Row],[BP_Controlled_After_3_Months]]=1,"Controlled","Not Controlled")</f>
        <v>Not Controlled</v>
      </c>
      <c r="R304">
        <f t="shared" si="12"/>
        <v>2</v>
      </c>
      <c r="S304">
        <f t="shared" si="13"/>
        <v>1</v>
      </c>
      <c r="T304" s="11" t="str">
        <f t="shared" si="14"/>
        <v>70+</v>
      </c>
    </row>
    <row r="305" spans="1:20" x14ac:dyDescent="0.35">
      <c r="A305" t="s">
        <v>314</v>
      </c>
      <c r="B305">
        <v>37</v>
      </c>
      <c r="C305" t="s">
        <v>12</v>
      </c>
      <c r="D305">
        <v>1</v>
      </c>
      <c r="E305">
        <v>0</v>
      </c>
      <c r="F305">
        <v>0</v>
      </c>
      <c r="G305">
        <v>0</v>
      </c>
      <c r="H305">
        <v>148</v>
      </c>
      <c r="I305">
        <v>95</v>
      </c>
      <c r="J305" t="s">
        <v>5</v>
      </c>
      <c r="K305" t="s">
        <v>6</v>
      </c>
      <c r="L305">
        <v>135</v>
      </c>
      <c r="M305">
        <v>88</v>
      </c>
      <c r="N305">
        <v>1</v>
      </c>
      <c r="O305">
        <v>6</v>
      </c>
      <c r="P305" s="1">
        <v>45371</v>
      </c>
      <c r="Q305" t="str">
        <f>IF(Hypertension_data[[#This Row],[BP_Controlled_After_3_Months]]=1,"Controlled","Not Controlled")</f>
        <v>Controlled</v>
      </c>
      <c r="R305">
        <f t="shared" si="12"/>
        <v>13</v>
      </c>
      <c r="S305">
        <f t="shared" si="13"/>
        <v>7</v>
      </c>
      <c r="T305" s="11" t="str">
        <f t="shared" si="14"/>
        <v>30-39</v>
      </c>
    </row>
    <row r="306" spans="1:20" x14ac:dyDescent="0.35">
      <c r="A306" t="s">
        <v>315</v>
      </c>
      <c r="B306">
        <v>32</v>
      </c>
      <c r="C306" t="s">
        <v>1</v>
      </c>
      <c r="D306">
        <v>0</v>
      </c>
      <c r="E306">
        <v>1</v>
      </c>
      <c r="F306">
        <v>0</v>
      </c>
      <c r="G306">
        <v>0</v>
      </c>
      <c r="H306">
        <v>190</v>
      </c>
      <c r="I306">
        <v>108</v>
      </c>
      <c r="J306" t="s">
        <v>5</v>
      </c>
      <c r="K306" t="s">
        <v>6</v>
      </c>
      <c r="L306">
        <v>177</v>
      </c>
      <c r="M306">
        <v>101</v>
      </c>
      <c r="N306">
        <v>0</v>
      </c>
      <c r="O306">
        <v>2</v>
      </c>
      <c r="P306" s="1">
        <v>45386</v>
      </c>
      <c r="Q306" t="str">
        <f>IF(Hypertension_data[[#This Row],[BP_Controlled_After_3_Months]]=1,"Controlled","Not Controlled")</f>
        <v>Not Controlled</v>
      </c>
      <c r="R306">
        <f t="shared" si="12"/>
        <v>13</v>
      </c>
      <c r="S306">
        <f t="shared" si="13"/>
        <v>7</v>
      </c>
      <c r="T306" s="11" t="str">
        <f t="shared" si="14"/>
        <v>30-39</v>
      </c>
    </row>
    <row r="307" spans="1:20" x14ac:dyDescent="0.35">
      <c r="A307" t="s">
        <v>316</v>
      </c>
      <c r="B307">
        <v>63</v>
      </c>
      <c r="C307" t="s">
        <v>1</v>
      </c>
      <c r="D307">
        <v>1</v>
      </c>
      <c r="E307">
        <v>0</v>
      </c>
      <c r="F307">
        <v>0</v>
      </c>
      <c r="G307">
        <v>1</v>
      </c>
      <c r="H307">
        <v>162</v>
      </c>
      <c r="I307">
        <v>97</v>
      </c>
      <c r="J307" t="s">
        <v>10</v>
      </c>
      <c r="K307" t="s">
        <v>3</v>
      </c>
      <c r="L307">
        <v>157</v>
      </c>
      <c r="M307">
        <v>94</v>
      </c>
      <c r="N307">
        <v>0</v>
      </c>
      <c r="O307">
        <v>3</v>
      </c>
      <c r="P307" s="1">
        <v>45403</v>
      </c>
      <c r="Q307" t="str">
        <f>IF(Hypertension_data[[#This Row],[BP_Controlled_After_3_Months]]=1,"Controlled","Not Controlled")</f>
        <v>Not Controlled</v>
      </c>
      <c r="R307">
        <f t="shared" si="12"/>
        <v>5</v>
      </c>
      <c r="S307">
        <f t="shared" si="13"/>
        <v>3</v>
      </c>
      <c r="T307" s="11" t="str">
        <f t="shared" si="14"/>
        <v>60-69</v>
      </c>
    </row>
    <row r="308" spans="1:20" x14ac:dyDescent="0.35">
      <c r="A308" t="s">
        <v>317</v>
      </c>
      <c r="B308">
        <v>78</v>
      </c>
      <c r="C308" t="s">
        <v>12</v>
      </c>
      <c r="D308">
        <v>1</v>
      </c>
      <c r="E308">
        <v>1</v>
      </c>
      <c r="F308">
        <v>0</v>
      </c>
      <c r="G308">
        <v>0</v>
      </c>
      <c r="H308">
        <v>155</v>
      </c>
      <c r="I308">
        <v>118</v>
      </c>
      <c r="J308" t="s">
        <v>13</v>
      </c>
      <c r="K308" t="s">
        <v>3</v>
      </c>
      <c r="L308">
        <v>138</v>
      </c>
      <c r="M308">
        <v>108</v>
      </c>
      <c r="N308">
        <v>0</v>
      </c>
      <c r="O308">
        <v>4</v>
      </c>
      <c r="P308" s="1">
        <v>45350</v>
      </c>
      <c r="Q308" t="str">
        <f>IF(Hypertension_data[[#This Row],[BP_Controlled_After_3_Months]]=1,"Controlled","Not Controlled")</f>
        <v>Not Controlled</v>
      </c>
      <c r="R308">
        <f t="shared" si="12"/>
        <v>17</v>
      </c>
      <c r="S308">
        <f t="shared" si="13"/>
        <v>10</v>
      </c>
      <c r="T308" s="11" t="str">
        <f t="shared" si="14"/>
        <v>70+</v>
      </c>
    </row>
    <row r="309" spans="1:20" x14ac:dyDescent="0.35">
      <c r="A309" t="s">
        <v>318</v>
      </c>
      <c r="B309">
        <v>54</v>
      </c>
      <c r="C309" t="s">
        <v>12</v>
      </c>
      <c r="D309">
        <v>0</v>
      </c>
      <c r="E309">
        <v>1</v>
      </c>
      <c r="F309">
        <v>0</v>
      </c>
      <c r="G309">
        <v>0</v>
      </c>
      <c r="H309">
        <v>171</v>
      </c>
      <c r="I309">
        <v>91</v>
      </c>
      <c r="J309" t="s">
        <v>8</v>
      </c>
      <c r="K309" t="s">
        <v>3</v>
      </c>
      <c r="L309">
        <v>163</v>
      </c>
      <c r="M309">
        <v>87</v>
      </c>
      <c r="N309">
        <v>0</v>
      </c>
      <c r="O309">
        <v>1</v>
      </c>
      <c r="P309" s="1">
        <v>45341</v>
      </c>
      <c r="Q309" t="str">
        <f>IF(Hypertension_data[[#This Row],[BP_Controlled_After_3_Months]]=1,"Controlled","Not Controlled")</f>
        <v>Not Controlled</v>
      </c>
      <c r="R309">
        <f t="shared" si="12"/>
        <v>8</v>
      </c>
      <c r="S309">
        <f t="shared" si="13"/>
        <v>4</v>
      </c>
      <c r="T309" s="11" t="str">
        <f t="shared" si="14"/>
        <v>50-59</v>
      </c>
    </row>
    <row r="310" spans="1:20" x14ac:dyDescent="0.35">
      <c r="A310" t="s">
        <v>319</v>
      </c>
      <c r="B310">
        <v>40</v>
      </c>
      <c r="C310" t="s">
        <v>1</v>
      </c>
      <c r="D310">
        <v>1</v>
      </c>
      <c r="E310">
        <v>1</v>
      </c>
      <c r="F310">
        <v>1</v>
      </c>
      <c r="G310">
        <v>0</v>
      </c>
      <c r="H310">
        <v>146</v>
      </c>
      <c r="I310">
        <v>96</v>
      </c>
      <c r="J310" t="s">
        <v>5</v>
      </c>
      <c r="K310" t="s">
        <v>3</v>
      </c>
      <c r="L310">
        <v>145</v>
      </c>
      <c r="M310">
        <v>96</v>
      </c>
      <c r="N310">
        <v>0</v>
      </c>
      <c r="O310">
        <v>6</v>
      </c>
      <c r="P310" s="1">
        <v>45643</v>
      </c>
      <c r="Q310" t="str">
        <f>IF(Hypertension_data[[#This Row],[BP_Controlled_After_3_Months]]=1,"Controlled","Not Controlled")</f>
        <v>Not Controlled</v>
      </c>
      <c r="R310">
        <f t="shared" si="12"/>
        <v>1</v>
      </c>
      <c r="S310">
        <f t="shared" si="13"/>
        <v>0</v>
      </c>
      <c r="T310" s="11" t="str">
        <f t="shared" si="14"/>
        <v>40-49</v>
      </c>
    </row>
    <row r="311" spans="1:20" x14ac:dyDescent="0.35">
      <c r="A311" t="s">
        <v>320</v>
      </c>
      <c r="B311">
        <v>39</v>
      </c>
      <c r="C311" t="s">
        <v>1</v>
      </c>
      <c r="D311">
        <v>0</v>
      </c>
      <c r="E311">
        <v>0</v>
      </c>
      <c r="F311">
        <v>1</v>
      </c>
      <c r="G311">
        <v>1</v>
      </c>
      <c r="H311">
        <v>144</v>
      </c>
      <c r="I311">
        <v>91</v>
      </c>
      <c r="J311" t="s">
        <v>10</v>
      </c>
      <c r="K311" t="s">
        <v>6</v>
      </c>
      <c r="L311">
        <v>127</v>
      </c>
      <c r="M311">
        <v>81</v>
      </c>
      <c r="N311">
        <v>1</v>
      </c>
      <c r="O311">
        <v>3</v>
      </c>
      <c r="P311" s="1">
        <v>45500</v>
      </c>
      <c r="Q311" t="str">
        <f>IF(Hypertension_data[[#This Row],[BP_Controlled_After_3_Months]]=1,"Controlled","Not Controlled")</f>
        <v>Controlled</v>
      </c>
      <c r="R311">
        <f t="shared" si="12"/>
        <v>17</v>
      </c>
      <c r="S311">
        <f t="shared" si="13"/>
        <v>10</v>
      </c>
      <c r="T311" s="11" t="str">
        <f t="shared" si="14"/>
        <v>30-39</v>
      </c>
    </row>
    <row r="312" spans="1:20" x14ac:dyDescent="0.35">
      <c r="A312" t="s">
        <v>321</v>
      </c>
      <c r="B312">
        <v>54</v>
      </c>
      <c r="C312" t="s">
        <v>12</v>
      </c>
      <c r="D312">
        <v>0</v>
      </c>
      <c r="E312">
        <v>0</v>
      </c>
      <c r="F312">
        <v>0</v>
      </c>
      <c r="G312">
        <v>1</v>
      </c>
      <c r="H312">
        <v>164</v>
      </c>
      <c r="I312">
        <v>111</v>
      </c>
      <c r="J312" t="s">
        <v>2</v>
      </c>
      <c r="K312" t="s">
        <v>3</v>
      </c>
      <c r="L312">
        <v>155</v>
      </c>
      <c r="M312">
        <v>106</v>
      </c>
      <c r="N312">
        <v>0</v>
      </c>
      <c r="O312">
        <v>1</v>
      </c>
      <c r="P312" s="1">
        <v>45591</v>
      </c>
      <c r="Q312" t="str">
        <f>IF(Hypertension_data[[#This Row],[BP_Controlled_After_3_Months]]=1,"Controlled","Not Controlled")</f>
        <v>Not Controlled</v>
      </c>
      <c r="R312">
        <f t="shared" si="12"/>
        <v>9</v>
      </c>
      <c r="S312">
        <f t="shared" si="13"/>
        <v>5</v>
      </c>
      <c r="T312" s="11" t="str">
        <f t="shared" si="14"/>
        <v>50-59</v>
      </c>
    </row>
    <row r="313" spans="1:20" x14ac:dyDescent="0.35">
      <c r="A313" t="s">
        <v>322</v>
      </c>
      <c r="B313">
        <v>32</v>
      </c>
      <c r="C313" t="s">
        <v>1</v>
      </c>
      <c r="D313">
        <v>0</v>
      </c>
      <c r="E313">
        <v>1</v>
      </c>
      <c r="F313">
        <v>0</v>
      </c>
      <c r="G313">
        <v>0</v>
      </c>
      <c r="H313">
        <v>178</v>
      </c>
      <c r="I313">
        <v>92</v>
      </c>
      <c r="J313" t="s">
        <v>8</v>
      </c>
      <c r="K313" t="s">
        <v>6</v>
      </c>
      <c r="L313">
        <v>164</v>
      </c>
      <c r="M313">
        <v>84</v>
      </c>
      <c r="N313">
        <v>0</v>
      </c>
      <c r="O313">
        <v>1</v>
      </c>
      <c r="P313" s="1">
        <v>45534</v>
      </c>
      <c r="Q313" t="str">
        <f>IF(Hypertension_data[[#This Row],[BP_Controlled_After_3_Months]]=1,"Controlled","Not Controlled")</f>
        <v>Not Controlled</v>
      </c>
      <c r="R313">
        <f t="shared" si="12"/>
        <v>14</v>
      </c>
      <c r="S313">
        <f t="shared" si="13"/>
        <v>8</v>
      </c>
      <c r="T313" s="11" t="str">
        <f t="shared" si="14"/>
        <v>30-39</v>
      </c>
    </row>
    <row r="314" spans="1:20" x14ac:dyDescent="0.35">
      <c r="A314" t="s">
        <v>323</v>
      </c>
      <c r="B314">
        <v>40</v>
      </c>
      <c r="C314" t="s">
        <v>1</v>
      </c>
      <c r="D314">
        <v>1</v>
      </c>
      <c r="E314">
        <v>0</v>
      </c>
      <c r="F314">
        <v>0</v>
      </c>
      <c r="G314">
        <v>1</v>
      </c>
      <c r="H314">
        <v>159</v>
      </c>
      <c r="I314">
        <v>111</v>
      </c>
      <c r="J314" t="s">
        <v>13</v>
      </c>
      <c r="K314" t="s">
        <v>3</v>
      </c>
      <c r="L314">
        <v>142</v>
      </c>
      <c r="M314">
        <v>101</v>
      </c>
      <c r="N314">
        <v>0</v>
      </c>
      <c r="O314">
        <v>2</v>
      </c>
      <c r="P314" s="1">
        <v>45355</v>
      </c>
      <c r="Q314" t="str">
        <f>IF(Hypertension_data[[#This Row],[BP_Controlled_After_3_Months]]=1,"Controlled","Not Controlled")</f>
        <v>Not Controlled</v>
      </c>
      <c r="R314">
        <f t="shared" si="12"/>
        <v>17</v>
      </c>
      <c r="S314">
        <f t="shared" si="13"/>
        <v>10</v>
      </c>
      <c r="T314" s="11" t="str">
        <f t="shared" si="14"/>
        <v>40-49</v>
      </c>
    </row>
    <row r="315" spans="1:20" x14ac:dyDescent="0.35">
      <c r="A315" t="s">
        <v>324</v>
      </c>
      <c r="B315">
        <v>32</v>
      </c>
      <c r="C315" t="s">
        <v>1</v>
      </c>
      <c r="D315">
        <v>0</v>
      </c>
      <c r="E315">
        <v>1</v>
      </c>
      <c r="F315">
        <v>0</v>
      </c>
      <c r="G315">
        <v>1</v>
      </c>
      <c r="H315">
        <v>187</v>
      </c>
      <c r="I315">
        <v>113</v>
      </c>
      <c r="J315" t="s">
        <v>13</v>
      </c>
      <c r="K315" t="s">
        <v>6</v>
      </c>
      <c r="L315">
        <v>164</v>
      </c>
      <c r="M315">
        <v>100</v>
      </c>
      <c r="N315">
        <v>0</v>
      </c>
      <c r="O315">
        <v>2</v>
      </c>
      <c r="P315" s="1">
        <v>45374</v>
      </c>
      <c r="Q315" t="str">
        <f>IF(Hypertension_data[[#This Row],[BP_Controlled_After_3_Months]]=1,"Controlled","Not Controlled")</f>
        <v>Not Controlled</v>
      </c>
      <c r="R315">
        <f t="shared" si="12"/>
        <v>23</v>
      </c>
      <c r="S315">
        <f t="shared" si="13"/>
        <v>13</v>
      </c>
      <c r="T315" s="11" t="str">
        <f t="shared" si="14"/>
        <v>30-39</v>
      </c>
    </row>
    <row r="316" spans="1:20" x14ac:dyDescent="0.35">
      <c r="A316" t="s">
        <v>325</v>
      </c>
      <c r="B316">
        <v>41</v>
      </c>
      <c r="C316" t="s">
        <v>1</v>
      </c>
      <c r="D316">
        <v>0</v>
      </c>
      <c r="E316">
        <v>1</v>
      </c>
      <c r="F316">
        <v>1</v>
      </c>
      <c r="G316">
        <v>1</v>
      </c>
      <c r="H316">
        <v>182</v>
      </c>
      <c r="I316">
        <v>115</v>
      </c>
      <c r="J316" t="s">
        <v>5</v>
      </c>
      <c r="K316" t="s">
        <v>15</v>
      </c>
      <c r="L316">
        <v>153</v>
      </c>
      <c r="M316">
        <v>98</v>
      </c>
      <c r="N316">
        <v>0</v>
      </c>
      <c r="O316">
        <v>1</v>
      </c>
      <c r="P316" s="1">
        <v>45440</v>
      </c>
      <c r="Q316" t="str">
        <f>IF(Hypertension_data[[#This Row],[BP_Controlled_After_3_Months]]=1,"Controlled","Not Controlled")</f>
        <v>Not Controlled</v>
      </c>
      <c r="R316">
        <f t="shared" si="12"/>
        <v>29</v>
      </c>
      <c r="S316">
        <f t="shared" si="13"/>
        <v>17</v>
      </c>
      <c r="T316" s="11" t="str">
        <f t="shared" si="14"/>
        <v>40-49</v>
      </c>
    </row>
    <row r="317" spans="1:20" x14ac:dyDescent="0.35">
      <c r="A317" t="s">
        <v>326</v>
      </c>
      <c r="B317">
        <v>72</v>
      </c>
      <c r="C317" t="s">
        <v>1</v>
      </c>
      <c r="D317">
        <v>0</v>
      </c>
      <c r="E317">
        <v>1</v>
      </c>
      <c r="F317">
        <v>1</v>
      </c>
      <c r="G317">
        <v>0</v>
      </c>
      <c r="H317">
        <v>161</v>
      </c>
      <c r="I317">
        <v>101</v>
      </c>
      <c r="J317" t="s">
        <v>10</v>
      </c>
      <c r="K317" t="s">
        <v>3</v>
      </c>
      <c r="L317">
        <v>157</v>
      </c>
      <c r="M317">
        <v>99</v>
      </c>
      <c r="N317">
        <v>0</v>
      </c>
      <c r="O317">
        <v>5</v>
      </c>
      <c r="P317" s="1">
        <v>45327</v>
      </c>
      <c r="Q317" t="str">
        <f>IF(Hypertension_data[[#This Row],[BP_Controlled_After_3_Months]]=1,"Controlled","Not Controlled")</f>
        <v>Not Controlled</v>
      </c>
      <c r="R317">
        <f t="shared" si="12"/>
        <v>4</v>
      </c>
      <c r="S317">
        <f t="shared" si="13"/>
        <v>2</v>
      </c>
      <c r="T317" s="11" t="str">
        <f t="shared" si="14"/>
        <v>70+</v>
      </c>
    </row>
    <row r="318" spans="1:20" x14ac:dyDescent="0.35">
      <c r="A318" t="s">
        <v>327</v>
      </c>
      <c r="B318">
        <v>42</v>
      </c>
      <c r="C318" t="s">
        <v>12</v>
      </c>
      <c r="D318">
        <v>0</v>
      </c>
      <c r="E318">
        <v>0</v>
      </c>
      <c r="F318">
        <v>0</v>
      </c>
      <c r="G318">
        <v>0</v>
      </c>
      <c r="H318">
        <v>184</v>
      </c>
      <c r="I318">
        <v>108</v>
      </c>
      <c r="J318" t="s">
        <v>10</v>
      </c>
      <c r="K318" t="s">
        <v>3</v>
      </c>
      <c r="L318">
        <v>178</v>
      </c>
      <c r="M318">
        <v>105</v>
      </c>
      <c r="N318">
        <v>0</v>
      </c>
      <c r="O318">
        <v>2</v>
      </c>
      <c r="P318" s="1">
        <v>45294</v>
      </c>
      <c r="Q318" t="str">
        <f>IF(Hypertension_data[[#This Row],[BP_Controlled_After_3_Months]]=1,"Controlled","Not Controlled")</f>
        <v>Not Controlled</v>
      </c>
      <c r="R318">
        <f t="shared" si="12"/>
        <v>6</v>
      </c>
      <c r="S318">
        <f t="shared" si="13"/>
        <v>3</v>
      </c>
      <c r="T318" s="11" t="str">
        <f t="shared" si="14"/>
        <v>40-49</v>
      </c>
    </row>
    <row r="319" spans="1:20" x14ac:dyDescent="0.35">
      <c r="A319" t="s">
        <v>328</v>
      </c>
      <c r="B319">
        <v>50</v>
      </c>
      <c r="C319" t="s">
        <v>1</v>
      </c>
      <c r="D319">
        <v>1</v>
      </c>
      <c r="E319">
        <v>0</v>
      </c>
      <c r="F319">
        <v>0</v>
      </c>
      <c r="G319">
        <v>0</v>
      </c>
      <c r="H319">
        <v>148</v>
      </c>
      <c r="I319">
        <v>111</v>
      </c>
      <c r="J319" t="s">
        <v>13</v>
      </c>
      <c r="K319" t="s">
        <v>6</v>
      </c>
      <c r="L319">
        <v>126</v>
      </c>
      <c r="M319">
        <v>98</v>
      </c>
      <c r="N319">
        <v>0</v>
      </c>
      <c r="O319">
        <v>3</v>
      </c>
      <c r="P319" s="1">
        <v>45541</v>
      </c>
      <c r="Q319" t="str">
        <f>IF(Hypertension_data[[#This Row],[BP_Controlled_After_3_Months]]=1,"Controlled","Not Controlled")</f>
        <v>Not Controlled</v>
      </c>
      <c r="R319">
        <f t="shared" si="12"/>
        <v>22</v>
      </c>
      <c r="S319">
        <f t="shared" si="13"/>
        <v>13</v>
      </c>
      <c r="T319" s="11" t="str">
        <f t="shared" si="14"/>
        <v>50-59</v>
      </c>
    </row>
    <row r="320" spans="1:20" x14ac:dyDescent="0.35">
      <c r="A320" t="s">
        <v>329</v>
      </c>
      <c r="B320">
        <v>65</v>
      </c>
      <c r="C320" t="s">
        <v>1</v>
      </c>
      <c r="D320">
        <v>1</v>
      </c>
      <c r="E320">
        <v>1</v>
      </c>
      <c r="F320">
        <v>0</v>
      </c>
      <c r="G320">
        <v>1</v>
      </c>
      <c r="H320">
        <v>174</v>
      </c>
      <c r="I320">
        <v>96</v>
      </c>
      <c r="J320" t="s">
        <v>8</v>
      </c>
      <c r="K320" t="s">
        <v>3</v>
      </c>
      <c r="L320">
        <v>174</v>
      </c>
      <c r="M320">
        <v>96</v>
      </c>
      <c r="N320">
        <v>0</v>
      </c>
      <c r="O320">
        <v>5</v>
      </c>
      <c r="P320" s="1">
        <v>45615</v>
      </c>
      <c r="Q320" t="str">
        <f>IF(Hypertension_data[[#This Row],[BP_Controlled_After_3_Months]]=1,"Controlled","Not Controlled")</f>
        <v>Not Controlled</v>
      </c>
      <c r="R320">
        <f t="shared" si="12"/>
        <v>0</v>
      </c>
      <c r="S320">
        <f t="shared" si="13"/>
        <v>0</v>
      </c>
      <c r="T320" s="11" t="str">
        <f t="shared" si="14"/>
        <v>60-69</v>
      </c>
    </row>
    <row r="321" spans="1:20" x14ac:dyDescent="0.35">
      <c r="A321" t="s">
        <v>330</v>
      </c>
      <c r="B321">
        <v>31</v>
      </c>
      <c r="C321" t="s">
        <v>12</v>
      </c>
      <c r="D321">
        <v>1</v>
      </c>
      <c r="E321">
        <v>1</v>
      </c>
      <c r="F321">
        <v>0</v>
      </c>
      <c r="G321">
        <v>0</v>
      </c>
      <c r="H321">
        <v>181</v>
      </c>
      <c r="I321">
        <v>114</v>
      </c>
      <c r="J321" t="s">
        <v>10</v>
      </c>
      <c r="K321" t="s">
        <v>6</v>
      </c>
      <c r="L321">
        <v>170</v>
      </c>
      <c r="M321">
        <v>108</v>
      </c>
      <c r="N321">
        <v>0</v>
      </c>
      <c r="O321">
        <v>6</v>
      </c>
      <c r="P321" s="1">
        <v>45440</v>
      </c>
      <c r="Q321" t="str">
        <f>IF(Hypertension_data[[#This Row],[BP_Controlled_After_3_Months]]=1,"Controlled","Not Controlled")</f>
        <v>Not Controlled</v>
      </c>
      <c r="R321">
        <f t="shared" si="12"/>
        <v>11</v>
      </c>
      <c r="S321">
        <f t="shared" si="13"/>
        <v>6</v>
      </c>
      <c r="T321" s="11" t="str">
        <f t="shared" si="14"/>
        <v>30-39</v>
      </c>
    </row>
    <row r="322" spans="1:20" x14ac:dyDescent="0.35">
      <c r="A322" t="s">
        <v>331</v>
      </c>
      <c r="B322">
        <v>38</v>
      </c>
      <c r="C322" t="s">
        <v>12</v>
      </c>
      <c r="D322">
        <v>1</v>
      </c>
      <c r="E322">
        <v>0</v>
      </c>
      <c r="F322">
        <v>0</v>
      </c>
      <c r="G322">
        <v>1</v>
      </c>
      <c r="H322">
        <v>182</v>
      </c>
      <c r="I322">
        <v>97</v>
      </c>
      <c r="J322" t="s">
        <v>5</v>
      </c>
      <c r="K322" t="s">
        <v>3</v>
      </c>
      <c r="L322">
        <v>180</v>
      </c>
      <c r="M322">
        <v>96</v>
      </c>
      <c r="N322">
        <v>0</v>
      </c>
      <c r="O322">
        <v>4</v>
      </c>
      <c r="P322" s="1">
        <v>45373</v>
      </c>
      <c r="Q322" t="str">
        <f>IF(Hypertension_data[[#This Row],[BP_Controlled_After_3_Months]]=1,"Controlled","Not Controlled")</f>
        <v>Not Controlled</v>
      </c>
      <c r="R322">
        <f t="shared" ref="R322:R351" si="15">H322-L322</f>
        <v>2</v>
      </c>
      <c r="S322">
        <f t="shared" ref="S322:S351" si="16">I322-M322</f>
        <v>1</v>
      </c>
      <c r="T322" s="11" t="str">
        <f t="shared" ref="T322:T351" si="17">IF(B322&lt;40,"30-39",
IF(B322&lt;50,"40-49",
IF(B322&lt;60,"50-59",
IF(B322&lt;70,"60-69",
"70+"))))</f>
        <v>30-39</v>
      </c>
    </row>
    <row r="323" spans="1:20" x14ac:dyDescent="0.35">
      <c r="A323" t="s">
        <v>332</v>
      </c>
      <c r="B323">
        <v>41</v>
      </c>
      <c r="C323" t="s">
        <v>1</v>
      </c>
      <c r="D323">
        <v>0</v>
      </c>
      <c r="E323">
        <v>0</v>
      </c>
      <c r="F323">
        <v>1</v>
      </c>
      <c r="G323">
        <v>1</v>
      </c>
      <c r="H323">
        <v>188</v>
      </c>
      <c r="I323">
        <v>105</v>
      </c>
      <c r="J323" t="s">
        <v>10</v>
      </c>
      <c r="K323" t="s">
        <v>15</v>
      </c>
      <c r="L323">
        <v>165</v>
      </c>
      <c r="M323">
        <v>92</v>
      </c>
      <c r="N323">
        <v>0</v>
      </c>
      <c r="O323">
        <v>1</v>
      </c>
      <c r="P323" s="1">
        <v>45634</v>
      </c>
      <c r="Q323" t="str">
        <f>IF(Hypertension_data[[#This Row],[BP_Controlled_After_3_Months]]=1,"Controlled","Not Controlled")</f>
        <v>Not Controlled</v>
      </c>
      <c r="R323">
        <f t="shared" si="15"/>
        <v>23</v>
      </c>
      <c r="S323">
        <f t="shared" si="16"/>
        <v>13</v>
      </c>
      <c r="T323" s="11" t="str">
        <f t="shared" si="17"/>
        <v>40-49</v>
      </c>
    </row>
    <row r="324" spans="1:20" x14ac:dyDescent="0.35">
      <c r="A324" t="s">
        <v>333</v>
      </c>
      <c r="B324">
        <v>43</v>
      </c>
      <c r="C324" t="s">
        <v>12</v>
      </c>
      <c r="D324">
        <v>0</v>
      </c>
      <c r="E324">
        <v>0</v>
      </c>
      <c r="F324">
        <v>0</v>
      </c>
      <c r="G324">
        <v>1</v>
      </c>
      <c r="H324">
        <v>142</v>
      </c>
      <c r="I324">
        <v>110</v>
      </c>
      <c r="J324" t="s">
        <v>8</v>
      </c>
      <c r="K324" t="s">
        <v>15</v>
      </c>
      <c r="L324">
        <v>119</v>
      </c>
      <c r="M324">
        <v>97</v>
      </c>
      <c r="N324">
        <v>0</v>
      </c>
      <c r="O324">
        <v>5</v>
      </c>
      <c r="P324" s="1">
        <v>45583</v>
      </c>
      <c r="Q324" t="str">
        <f>IF(Hypertension_data[[#This Row],[BP_Controlled_After_3_Months]]=1,"Controlled","Not Controlled")</f>
        <v>Not Controlled</v>
      </c>
      <c r="R324">
        <f t="shared" si="15"/>
        <v>23</v>
      </c>
      <c r="S324">
        <f t="shared" si="16"/>
        <v>13</v>
      </c>
      <c r="T324" s="11" t="str">
        <f t="shared" si="17"/>
        <v>40-49</v>
      </c>
    </row>
    <row r="325" spans="1:20" x14ac:dyDescent="0.35">
      <c r="A325" t="s">
        <v>334</v>
      </c>
      <c r="B325">
        <v>41</v>
      </c>
      <c r="C325" t="s">
        <v>12</v>
      </c>
      <c r="D325">
        <v>0</v>
      </c>
      <c r="E325">
        <v>0</v>
      </c>
      <c r="F325">
        <v>1</v>
      </c>
      <c r="G325">
        <v>0</v>
      </c>
      <c r="H325">
        <v>164</v>
      </c>
      <c r="I325">
        <v>119</v>
      </c>
      <c r="J325" t="s">
        <v>10</v>
      </c>
      <c r="K325" t="s">
        <v>3</v>
      </c>
      <c r="L325">
        <v>159</v>
      </c>
      <c r="M325">
        <v>116</v>
      </c>
      <c r="N325">
        <v>0</v>
      </c>
      <c r="O325">
        <v>4</v>
      </c>
      <c r="P325" s="1">
        <v>45538</v>
      </c>
      <c r="Q325" t="str">
        <f>IF(Hypertension_data[[#This Row],[BP_Controlled_After_3_Months]]=1,"Controlled","Not Controlled")</f>
        <v>Not Controlled</v>
      </c>
      <c r="R325">
        <f t="shared" si="15"/>
        <v>5</v>
      </c>
      <c r="S325">
        <f t="shared" si="16"/>
        <v>3</v>
      </c>
      <c r="T325" s="11" t="str">
        <f t="shared" si="17"/>
        <v>40-49</v>
      </c>
    </row>
    <row r="326" spans="1:20" x14ac:dyDescent="0.35">
      <c r="A326" t="s">
        <v>335</v>
      </c>
      <c r="B326">
        <v>68</v>
      </c>
      <c r="C326" t="s">
        <v>1</v>
      </c>
      <c r="D326">
        <v>1</v>
      </c>
      <c r="E326">
        <v>0</v>
      </c>
      <c r="F326">
        <v>1</v>
      </c>
      <c r="G326">
        <v>1</v>
      </c>
      <c r="H326">
        <v>144</v>
      </c>
      <c r="I326">
        <v>106</v>
      </c>
      <c r="J326" t="s">
        <v>13</v>
      </c>
      <c r="K326" t="s">
        <v>6</v>
      </c>
      <c r="L326">
        <v>128</v>
      </c>
      <c r="M326">
        <v>97</v>
      </c>
      <c r="N326">
        <v>0</v>
      </c>
      <c r="O326">
        <v>3</v>
      </c>
      <c r="P326" s="1">
        <v>45600</v>
      </c>
      <c r="Q326" t="str">
        <f>IF(Hypertension_data[[#This Row],[BP_Controlled_After_3_Months]]=1,"Controlled","Not Controlled")</f>
        <v>Not Controlled</v>
      </c>
      <c r="R326">
        <f t="shared" si="15"/>
        <v>16</v>
      </c>
      <c r="S326">
        <f t="shared" si="16"/>
        <v>9</v>
      </c>
      <c r="T326" s="11" t="str">
        <f t="shared" si="17"/>
        <v>60-69</v>
      </c>
    </row>
    <row r="327" spans="1:20" x14ac:dyDescent="0.35">
      <c r="A327" t="s">
        <v>336</v>
      </c>
      <c r="B327">
        <v>75</v>
      </c>
      <c r="C327" t="s">
        <v>1</v>
      </c>
      <c r="D327">
        <v>1</v>
      </c>
      <c r="E327">
        <v>0</v>
      </c>
      <c r="F327">
        <v>0</v>
      </c>
      <c r="G327">
        <v>1</v>
      </c>
      <c r="H327">
        <v>170</v>
      </c>
      <c r="I327">
        <v>111</v>
      </c>
      <c r="J327" t="s">
        <v>19</v>
      </c>
      <c r="K327" t="s">
        <v>6</v>
      </c>
      <c r="L327">
        <v>153</v>
      </c>
      <c r="M327">
        <v>101</v>
      </c>
      <c r="N327">
        <v>0</v>
      </c>
      <c r="O327">
        <v>6</v>
      </c>
      <c r="P327" s="1">
        <v>45502</v>
      </c>
      <c r="Q327" t="str">
        <f>IF(Hypertension_data[[#This Row],[BP_Controlled_After_3_Months]]=1,"Controlled","Not Controlled")</f>
        <v>Not Controlled</v>
      </c>
      <c r="R327">
        <f t="shared" si="15"/>
        <v>17</v>
      </c>
      <c r="S327">
        <f t="shared" si="16"/>
        <v>10</v>
      </c>
      <c r="T327" s="11" t="str">
        <f t="shared" si="17"/>
        <v>70+</v>
      </c>
    </row>
    <row r="328" spans="1:20" x14ac:dyDescent="0.35">
      <c r="A328" t="s">
        <v>337</v>
      </c>
      <c r="B328">
        <v>31</v>
      </c>
      <c r="C328" t="s">
        <v>1</v>
      </c>
      <c r="D328">
        <v>1</v>
      </c>
      <c r="E328">
        <v>1</v>
      </c>
      <c r="F328">
        <v>1</v>
      </c>
      <c r="G328">
        <v>1</v>
      </c>
      <c r="H328">
        <v>180</v>
      </c>
      <c r="I328">
        <v>106</v>
      </c>
      <c r="J328" t="s">
        <v>2</v>
      </c>
      <c r="K328" t="s">
        <v>3</v>
      </c>
      <c r="L328">
        <v>178</v>
      </c>
      <c r="M328">
        <v>105</v>
      </c>
      <c r="N328">
        <v>0</v>
      </c>
      <c r="O328">
        <v>3</v>
      </c>
      <c r="P328" s="1">
        <v>45384</v>
      </c>
      <c r="Q328" t="str">
        <f>IF(Hypertension_data[[#This Row],[BP_Controlled_After_3_Months]]=1,"Controlled","Not Controlled")</f>
        <v>Not Controlled</v>
      </c>
      <c r="R328">
        <f t="shared" si="15"/>
        <v>2</v>
      </c>
      <c r="S328">
        <f t="shared" si="16"/>
        <v>1</v>
      </c>
      <c r="T328" s="11" t="str">
        <f t="shared" si="17"/>
        <v>30-39</v>
      </c>
    </row>
    <row r="329" spans="1:20" x14ac:dyDescent="0.35">
      <c r="A329" t="s">
        <v>338</v>
      </c>
      <c r="B329">
        <v>63</v>
      </c>
      <c r="C329" t="s">
        <v>12</v>
      </c>
      <c r="D329">
        <v>1</v>
      </c>
      <c r="E329">
        <v>0</v>
      </c>
      <c r="F329">
        <v>1</v>
      </c>
      <c r="G329">
        <v>1</v>
      </c>
      <c r="H329">
        <v>168</v>
      </c>
      <c r="I329">
        <v>109</v>
      </c>
      <c r="J329" t="s">
        <v>19</v>
      </c>
      <c r="K329" t="s">
        <v>6</v>
      </c>
      <c r="L329">
        <v>157</v>
      </c>
      <c r="M329">
        <v>103</v>
      </c>
      <c r="N329">
        <v>0</v>
      </c>
      <c r="O329">
        <v>5</v>
      </c>
      <c r="P329" s="1">
        <v>45365</v>
      </c>
      <c r="Q329" t="str">
        <f>IF(Hypertension_data[[#This Row],[BP_Controlled_After_3_Months]]=1,"Controlled","Not Controlled")</f>
        <v>Not Controlled</v>
      </c>
      <c r="R329">
        <f t="shared" si="15"/>
        <v>11</v>
      </c>
      <c r="S329">
        <f t="shared" si="16"/>
        <v>6</v>
      </c>
      <c r="T329" s="11" t="str">
        <f t="shared" si="17"/>
        <v>60-69</v>
      </c>
    </row>
    <row r="330" spans="1:20" x14ac:dyDescent="0.35">
      <c r="A330" t="s">
        <v>339</v>
      </c>
      <c r="B330">
        <v>80</v>
      </c>
      <c r="C330" t="s">
        <v>1</v>
      </c>
      <c r="D330">
        <v>0</v>
      </c>
      <c r="E330">
        <v>1</v>
      </c>
      <c r="F330">
        <v>0</v>
      </c>
      <c r="G330">
        <v>0</v>
      </c>
      <c r="H330">
        <v>178</v>
      </c>
      <c r="I330">
        <v>108</v>
      </c>
      <c r="J330" t="s">
        <v>2</v>
      </c>
      <c r="K330" t="s">
        <v>15</v>
      </c>
      <c r="L330">
        <v>151</v>
      </c>
      <c r="M330">
        <v>92</v>
      </c>
      <c r="N330">
        <v>0</v>
      </c>
      <c r="O330">
        <v>1</v>
      </c>
      <c r="P330" s="1">
        <v>45300</v>
      </c>
      <c r="Q330" t="str">
        <f>IF(Hypertension_data[[#This Row],[BP_Controlled_After_3_Months]]=1,"Controlled","Not Controlled")</f>
        <v>Not Controlled</v>
      </c>
      <c r="R330">
        <f t="shared" si="15"/>
        <v>27</v>
      </c>
      <c r="S330">
        <f t="shared" si="16"/>
        <v>16</v>
      </c>
      <c r="T330" s="11" t="str">
        <f t="shared" si="17"/>
        <v>70+</v>
      </c>
    </row>
    <row r="331" spans="1:20" x14ac:dyDescent="0.35">
      <c r="A331" t="s">
        <v>340</v>
      </c>
      <c r="B331">
        <v>42</v>
      </c>
      <c r="C331" t="s">
        <v>12</v>
      </c>
      <c r="D331">
        <v>1</v>
      </c>
      <c r="E331">
        <v>1</v>
      </c>
      <c r="F331">
        <v>1</v>
      </c>
      <c r="G331">
        <v>0</v>
      </c>
      <c r="H331">
        <v>179</v>
      </c>
      <c r="I331">
        <v>109</v>
      </c>
      <c r="J331" t="s">
        <v>2</v>
      </c>
      <c r="K331" t="s">
        <v>3</v>
      </c>
      <c r="L331">
        <v>172</v>
      </c>
      <c r="M331">
        <v>105</v>
      </c>
      <c r="N331">
        <v>0</v>
      </c>
      <c r="O331">
        <v>6</v>
      </c>
      <c r="P331" s="1">
        <v>45358</v>
      </c>
      <c r="Q331" t="str">
        <f>IF(Hypertension_data[[#This Row],[BP_Controlled_After_3_Months]]=1,"Controlled","Not Controlled")</f>
        <v>Not Controlled</v>
      </c>
      <c r="R331">
        <f t="shared" si="15"/>
        <v>7</v>
      </c>
      <c r="S331">
        <f t="shared" si="16"/>
        <v>4</v>
      </c>
      <c r="T331" s="11" t="str">
        <f t="shared" si="17"/>
        <v>40-49</v>
      </c>
    </row>
    <row r="332" spans="1:20" x14ac:dyDescent="0.35">
      <c r="A332" t="s">
        <v>341</v>
      </c>
      <c r="B332">
        <v>68</v>
      </c>
      <c r="C332" t="s">
        <v>1</v>
      </c>
      <c r="D332">
        <v>0</v>
      </c>
      <c r="E332">
        <v>0</v>
      </c>
      <c r="F332">
        <v>0</v>
      </c>
      <c r="G332">
        <v>1</v>
      </c>
      <c r="H332">
        <v>184</v>
      </c>
      <c r="I332">
        <v>106</v>
      </c>
      <c r="J332" t="s">
        <v>19</v>
      </c>
      <c r="K332" t="s">
        <v>15</v>
      </c>
      <c r="L332">
        <v>154</v>
      </c>
      <c r="M332">
        <v>88</v>
      </c>
      <c r="N332">
        <v>0</v>
      </c>
      <c r="O332">
        <v>5</v>
      </c>
      <c r="P332" s="1">
        <v>45648</v>
      </c>
      <c r="Q332" t="str">
        <f>IF(Hypertension_data[[#This Row],[BP_Controlled_After_3_Months]]=1,"Controlled","Not Controlled")</f>
        <v>Not Controlled</v>
      </c>
      <c r="R332">
        <f t="shared" si="15"/>
        <v>30</v>
      </c>
      <c r="S332">
        <f t="shared" si="16"/>
        <v>18</v>
      </c>
      <c r="T332" s="11" t="str">
        <f t="shared" si="17"/>
        <v>60-69</v>
      </c>
    </row>
    <row r="333" spans="1:20" x14ac:dyDescent="0.35">
      <c r="A333" t="s">
        <v>342</v>
      </c>
      <c r="B333">
        <v>66</v>
      </c>
      <c r="C333" t="s">
        <v>1</v>
      </c>
      <c r="D333">
        <v>0</v>
      </c>
      <c r="E333">
        <v>1</v>
      </c>
      <c r="F333">
        <v>0</v>
      </c>
      <c r="G333">
        <v>0</v>
      </c>
      <c r="H333">
        <v>189</v>
      </c>
      <c r="I333">
        <v>97</v>
      </c>
      <c r="J333" t="s">
        <v>2</v>
      </c>
      <c r="K333" t="s">
        <v>6</v>
      </c>
      <c r="L333">
        <v>177</v>
      </c>
      <c r="M333">
        <v>90</v>
      </c>
      <c r="N333">
        <v>0</v>
      </c>
      <c r="O333">
        <v>1</v>
      </c>
      <c r="P333" s="1">
        <v>45655</v>
      </c>
      <c r="Q333" t="str">
        <f>IF(Hypertension_data[[#This Row],[BP_Controlled_After_3_Months]]=1,"Controlled","Not Controlled")</f>
        <v>Not Controlled</v>
      </c>
      <c r="R333">
        <f t="shared" si="15"/>
        <v>12</v>
      </c>
      <c r="S333">
        <f t="shared" si="16"/>
        <v>7</v>
      </c>
      <c r="T333" s="11" t="str">
        <f t="shared" si="17"/>
        <v>60-69</v>
      </c>
    </row>
    <row r="334" spans="1:20" x14ac:dyDescent="0.35">
      <c r="A334" t="s">
        <v>343</v>
      </c>
      <c r="B334">
        <v>77</v>
      </c>
      <c r="C334" t="s">
        <v>1</v>
      </c>
      <c r="D334">
        <v>1</v>
      </c>
      <c r="E334">
        <v>1</v>
      </c>
      <c r="F334">
        <v>0</v>
      </c>
      <c r="G334">
        <v>1</v>
      </c>
      <c r="H334">
        <v>184</v>
      </c>
      <c r="I334">
        <v>115</v>
      </c>
      <c r="J334" t="s">
        <v>8</v>
      </c>
      <c r="K334" t="s">
        <v>6</v>
      </c>
      <c r="L334">
        <v>175</v>
      </c>
      <c r="M334">
        <v>110</v>
      </c>
      <c r="N334">
        <v>0</v>
      </c>
      <c r="O334">
        <v>4</v>
      </c>
      <c r="P334" s="1">
        <v>45625</v>
      </c>
      <c r="Q334" t="str">
        <f>IF(Hypertension_data[[#This Row],[BP_Controlled_After_3_Months]]=1,"Controlled","Not Controlled")</f>
        <v>Not Controlled</v>
      </c>
      <c r="R334">
        <f t="shared" si="15"/>
        <v>9</v>
      </c>
      <c r="S334">
        <f t="shared" si="16"/>
        <v>5</v>
      </c>
      <c r="T334" s="11" t="str">
        <f t="shared" si="17"/>
        <v>70+</v>
      </c>
    </row>
    <row r="335" spans="1:20" x14ac:dyDescent="0.35">
      <c r="A335" t="s">
        <v>344</v>
      </c>
      <c r="B335">
        <v>67</v>
      </c>
      <c r="C335" t="s">
        <v>12</v>
      </c>
      <c r="D335">
        <v>0</v>
      </c>
      <c r="E335">
        <v>0</v>
      </c>
      <c r="F335">
        <v>0</v>
      </c>
      <c r="G335">
        <v>0</v>
      </c>
      <c r="H335">
        <v>183</v>
      </c>
      <c r="I335">
        <v>102</v>
      </c>
      <c r="J335" t="s">
        <v>10</v>
      </c>
      <c r="K335" t="s">
        <v>6</v>
      </c>
      <c r="L335">
        <v>173</v>
      </c>
      <c r="M335">
        <v>96</v>
      </c>
      <c r="N335">
        <v>0</v>
      </c>
      <c r="O335">
        <v>5</v>
      </c>
      <c r="P335" s="1">
        <v>45576</v>
      </c>
      <c r="Q335" t="str">
        <f>IF(Hypertension_data[[#This Row],[BP_Controlled_After_3_Months]]=1,"Controlled","Not Controlled")</f>
        <v>Not Controlled</v>
      </c>
      <c r="R335">
        <f t="shared" si="15"/>
        <v>10</v>
      </c>
      <c r="S335">
        <f t="shared" si="16"/>
        <v>6</v>
      </c>
      <c r="T335" s="11" t="str">
        <f t="shared" si="17"/>
        <v>60-69</v>
      </c>
    </row>
    <row r="336" spans="1:20" x14ac:dyDescent="0.35">
      <c r="A336" t="s">
        <v>345</v>
      </c>
      <c r="B336">
        <v>60</v>
      </c>
      <c r="C336" t="s">
        <v>12</v>
      </c>
      <c r="D336">
        <v>0</v>
      </c>
      <c r="E336">
        <v>0</v>
      </c>
      <c r="F336">
        <v>0</v>
      </c>
      <c r="G336">
        <v>1</v>
      </c>
      <c r="H336">
        <v>182</v>
      </c>
      <c r="I336">
        <v>93</v>
      </c>
      <c r="J336" t="s">
        <v>13</v>
      </c>
      <c r="K336" t="s">
        <v>15</v>
      </c>
      <c r="L336">
        <v>147</v>
      </c>
      <c r="M336">
        <v>72</v>
      </c>
      <c r="N336">
        <v>0</v>
      </c>
      <c r="O336">
        <v>5</v>
      </c>
      <c r="P336" s="1">
        <v>45497</v>
      </c>
      <c r="Q336" t="str">
        <f>IF(Hypertension_data[[#This Row],[BP_Controlled_After_3_Months]]=1,"Controlled","Not Controlled")</f>
        <v>Not Controlled</v>
      </c>
      <c r="R336">
        <f t="shared" si="15"/>
        <v>35</v>
      </c>
      <c r="S336">
        <f t="shared" si="16"/>
        <v>21</v>
      </c>
      <c r="T336" s="11" t="str">
        <f t="shared" si="17"/>
        <v>60-69</v>
      </c>
    </row>
    <row r="337" spans="1:20" x14ac:dyDescent="0.35">
      <c r="A337" t="s">
        <v>346</v>
      </c>
      <c r="B337">
        <v>80</v>
      </c>
      <c r="C337" t="s">
        <v>12</v>
      </c>
      <c r="D337">
        <v>1</v>
      </c>
      <c r="E337">
        <v>1</v>
      </c>
      <c r="F337">
        <v>0</v>
      </c>
      <c r="G337">
        <v>1</v>
      </c>
      <c r="H337">
        <v>145</v>
      </c>
      <c r="I337">
        <v>116</v>
      </c>
      <c r="J337" t="s">
        <v>10</v>
      </c>
      <c r="K337" t="s">
        <v>6</v>
      </c>
      <c r="L337">
        <v>136</v>
      </c>
      <c r="M337">
        <v>111</v>
      </c>
      <c r="N337">
        <v>0</v>
      </c>
      <c r="O337">
        <v>3</v>
      </c>
      <c r="P337" s="1">
        <v>45405</v>
      </c>
      <c r="Q337" t="str">
        <f>IF(Hypertension_data[[#This Row],[BP_Controlled_After_3_Months]]=1,"Controlled","Not Controlled")</f>
        <v>Not Controlled</v>
      </c>
      <c r="R337">
        <f t="shared" si="15"/>
        <v>9</v>
      </c>
      <c r="S337">
        <f t="shared" si="16"/>
        <v>5</v>
      </c>
      <c r="T337" s="11" t="str">
        <f t="shared" si="17"/>
        <v>70+</v>
      </c>
    </row>
    <row r="338" spans="1:20" x14ac:dyDescent="0.35">
      <c r="A338" t="s">
        <v>347</v>
      </c>
      <c r="B338">
        <v>53</v>
      </c>
      <c r="C338" t="s">
        <v>1</v>
      </c>
      <c r="D338">
        <v>1</v>
      </c>
      <c r="E338">
        <v>0</v>
      </c>
      <c r="F338">
        <v>0</v>
      </c>
      <c r="G338">
        <v>0</v>
      </c>
      <c r="H338">
        <v>185</v>
      </c>
      <c r="I338">
        <v>120</v>
      </c>
      <c r="J338" t="s">
        <v>5</v>
      </c>
      <c r="K338" t="s">
        <v>15</v>
      </c>
      <c r="L338">
        <v>165</v>
      </c>
      <c r="M338">
        <v>108</v>
      </c>
      <c r="N338">
        <v>0</v>
      </c>
      <c r="O338">
        <v>4</v>
      </c>
      <c r="P338" s="1">
        <v>45297</v>
      </c>
      <c r="Q338" t="str">
        <f>IF(Hypertension_data[[#This Row],[BP_Controlled_After_3_Months]]=1,"Controlled","Not Controlled")</f>
        <v>Not Controlled</v>
      </c>
      <c r="R338">
        <f t="shared" si="15"/>
        <v>20</v>
      </c>
      <c r="S338">
        <f t="shared" si="16"/>
        <v>12</v>
      </c>
      <c r="T338" s="11" t="str">
        <f t="shared" si="17"/>
        <v>50-59</v>
      </c>
    </row>
    <row r="339" spans="1:20" x14ac:dyDescent="0.35">
      <c r="A339" t="s">
        <v>348</v>
      </c>
      <c r="B339">
        <v>42</v>
      </c>
      <c r="C339" t="s">
        <v>12</v>
      </c>
      <c r="D339">
        <v>1</v>
      </c>
      <c r="E339">
        <v>1</v>
      </c>
      <c r="F339">
        <v>1</v>
      </c>
      <c r="G339">
        <v>1</v>
      </c>
      <c r="H339">
        <v>183</v>
      </c>
      <c r="I339">
        <v>91</v>
      </c>
      <c r="J339" t="s">
        <v>8</v>
      </c>
      <c r="K339" t="s">
        <v>15</v>
      </c>
      <c r="L339">
        <v>168</v>
      </c>
      <c r="M339">
        <v>82</v>
      </c>
      <c r="N339">
        <v>0</v>
      </c>
      <c r="O339">
        <v>3</v>
      </c>
      <c r="P339" s="1">
        <v>45496</v>
      </c>
      <c r="Q339" t="str">
        <f>IF(Hypertension_data[[#This Row],[BP_Controlled_After_3_Months]]=1,"Controlled","Not Controlled")</f>
        <v>Not Controlled</v>
      </c>
      <c r="R339">
        <f t="shared" si="15"/>
        <v>15</v>
      </c>
      <c r="S339">
        <f t="shared" si="16"/>
        <v>9</v>
      </c>
      <c r="T339" s="11" t="str">
        <f t="shared" si="17"/>
        <v>40-49</v>
      </c>
    </row>
    <row r="340" spans="1:20" x14ac:dyDescent="0.35">
      <c r="A340" t="s">
        <v>349</v>
      </c>
      <c r="B340">
        <v>52</v>
      </c>
      <c r="C340" t="s">
        <v>12</v>
      </c>
      <c r="D340">
        <v>0</v>
      </c>
      <c r="E340">
        <v>1</v>
      </c>
      <c r="F340">
        <v>1</v>
      </c>
      <c r="G340">
        <v>1</v>
      </c>
      <c r="H340">
        <v>145</v>
      </c>
      <c r="I340">
        <v>107</v>
      </c>
      <c r="J340" t="s">
        <v>8</v>
      </c>
      <c r="K340" t="s">
        <v>3</v>
      </c>
      <c r="L340">
        <v>141</v>
      </c>
      <c r="M340">
        <v>105</v>
      </c>
      <c r="N340">
        <v>0</v>
      </c>
      <c r="O340">
        <v>2</v>
      </c>
      <c r="P340" s="1">
        <v>45602</v>
      </c>
      <c r="Q340" t="str">
        <f>IF(Hypertension_data[[#This Row],[BP_Controlled_After_3_Months]]=1,"Controlled","Not Controlled")</f>
        <v>Not Controlled</v>
      </c>
      <c r="R340">
        <f t="shared" si="15"/>
        <v>4</v>
      </c>
      <c r="S340">
        <f t="shared" si="16"/>
        <v>2</v>
      </c>
      <c r="T340" s="11" t="str">
        <f t="shared" si="17"/>
        <v>50-59</v>
      </c>
    </row>
    <row r="341" spans="1:20" x14ac:dyDescent="0.35">
      <c r="A341" t="s">
        <v>350</v>
      </c>
      <c r="B341">
        <v>42</v>
      </c>
      <c r="C341" t="s">
        <v>12</v>
      </c>
      <c r="D341">
        <v>0</v>
      </c>
      <c r="E341">
        <v>1</v>
      </c>
      <c r="F341">
        <v>0</v>
      </c>
      <c r="G341">
        <v>1</v>
      </c>
      <c r="H341">
        <v>166</v>
      </c>
      <c r="I341">
        <v>106</v>
      </c>
      <c r="J341" t="s">
        <v>2</v>
      </c>
      <c r="K341" t="s">
        <v>3</v>
      </c>
      <c r="L341">
        <v>162</v>
      </c>
      <c r="M341">
        <v>104</v>
      </c>
      <c r="N341">
        <v>0</v>
      </c>
      <c r="O341">
        <v>3</v>
      </c>
      <c r="P341" s="1">
        <v>45351</v>
      </c>
      <c r="Q341" t="str">
        <f>IF(Hypertension_data[[#This Row],[BP_Controlled_After_3_Months]]=1,"Controlled","Not Controlled")</f>
        <v>Not Controlled</v>
      </c>
      <c r="R341">
        <f t="shared" si="15"/>
        <v>4</v>
      </c>
      <c r="S341">
        <f t="shared" si="16"/>
        <v>2</v>
      </c>
      <c r="T341" s="11" t="str">
        <f t="shared" si="17"/>
        <v>40-49</v>
      </c>
    </row>
    <row r="342" spans="1:20" x14ac:dyDescent="0.35">
      <c r="A342" t="s">
        <v>351</v>
      </c>
      <c r="B342">
        <v>81</v>
      </c>
      <c r="C342" t="s">
        <v>12</v>
      </c>
      <c r="D342">
        <v>0</v>
      </c>
      <c r="E342">
        <v>0</v>
      </c>
      <c r="F342">
        <v>0</v>
      </c>
      <c r="G342">
        <v>0</v>
      </c>
      <c r="H342">
        <v>189</v>
      </c>
      <c r="I342">
        <v>97</v>
      </c>
      <c r="J342" t="s">
        <v>8</v>
      </c>
      <c r="K342" t="s">
        <v>6</v>
      </c>
      <c r="L342">
        <v>172</v>
      </c>
      <c r="M342">
        <v>87</v>
      </c>
      <c r="N342">
        <v>0</v>
      </c>
      <c r="O342">
        <v>4</v>
      </c>
      <c r="P342" s="1">
        <v>45351</v>
      </c>
      <c r="Q342" t="str">
        <f>IF(Hypertension_data[[#This Row],[BP_Controlled_After_3_Months]]=1,"Controlled","Not Controlled")</f>
        <v>Not Controlled</v>
      </c>
      <c r="R342">
        <f t="shared" si="15"/>
        <v>17</v>
      </c>
      <c r="S342">
        <f t="shared" si="16"/>
        <v>10</v>
      </c>
      <c r="T342" s="11" t="str">
        <f t="shared" si="17"/>
        <v>70+</v>
      </c>
    </row>
    <row r="343" spans="1:20" x14ac:dyDescent="0.35">
      <c r="A343" t="s">
        <v>352</v>
      </c>
      <c r="B343">
        <v>46</v>
      </c>
      <c r="C343" t="s">
        <v>1</v>
      </c>
      <c r="D343">
        <v>0</v>
      </c>
      <c r="E343">
        <v>1</v>
      </c>
      <c r="F343">
        <v>1</v>
      </c>
      <c r="G343">
        <v>0</v>
      </c>
      <c r="H343">
        <v>166</v>
      </c>
      <c r="I343">
        <v>120</v>
      </c>
      <c r="J343" t="s">
        <v>8</v>
      </c>
      <c r="K343" t="s">
        <v>3</v>
      </c>
      <c r="L343">
        <v>163</v>
      </c>
      <c r="M343">
        <v>119</v>
      </c>
      <c r="N343">
        <v>0</v>
      </c>
      <c r="O343">
        <v>3</v>
      </c>
      <c r="P343" s="1">
        <v>45339</v>
      </c>
      <c r="Q343" t="str">
        <f>IF(Hypertension_data[[#This Row],[BP_Controlled_After_3_Months]]=1,"Controlled","Not Controlled")</f>
        <v>Not Controlled</v>
      </c>
      <c r="R343">
        <f t="shared" si="15"/>
        <v>3</v>
      </c>
      <c r="S343">
        <f t="shared" si="16"/>
        <v>1</v>
      </c>
      <c r="T343" s="11" t="str">
        <f t="shared" si="17"/>
        <v>40-49</v>
      </c>
    </row>
    <row r="344" spans="1:20" x14ac:dyDescent="0.35">
      <c r="A344" t="s">
        <v>353</v>
      </c>
      <c r="B344">
        <v>55</v>
      </c>
      <c r="C344" t="s">
        <v>12</v>
      </c>
      <c r="D344">
        <v>1</v>
      </c>
      <c r="E344">
        <v>1</v>
      </c>
      <c r="F344">
        <v>0</v>
      </c>
      <c r="G344">
        <v>0</v>
      </c>
      <c r="H344">
        <v>162</v>
      </c>
      <c r="I344">
        <v>96</v>
      </c>
      <c r="J344" t="s">
        <v>5</v>
      </c>
      <c r="K344" t="s">
        <v>6</v>
      </c>
      <c r="L344">
        <v>144</v>
      </c>
      <c r="M344">
        <v>86</v>
      </c>
      <c r="N344">
        <v>0</v>
      </c>
      <c r="O344">
        <v>4</v>
      </c>
      <c r="P344" s="1">
        <v>45394</v>
      </c>
      <c r="Q344" t="str">
        <f>IF(Hypertension_data[[#This Row],[BP_Controlled_After_3_Months]]=1,"Controlled","Not Controlled")</f>
        <v>Not Controlled</v>
      </c>
      <c r="R344">
        <f t="shared" si="15"/>
        <v>18</v>
      </c>
      <c r="S344">
        <f t="shared" si="16"/>
        <v>10</v>
      </c>
      <c r="T344" s="11" t="str">
        <f t="shared" si="17"/>
        <v>50-59</v>
      </c>
    </row>
    <row r="345" spans="1:20" x14ac:dyDescent="0.35">
      <c r="A345" t="s">
        <v>354</v>
      </c>
      <c r="B345">
        <v>45</v>
      </c>
      <c r="C345" t="s">
        <v>1</v>
      </c>
      <c r="D345">
        <v>0</v>
      </c>
      <c r="E345">
        <v>1</v>
      </c>
      <c r="F345">
        <v>1</v>
      </c>
      <c r="G345">
        <v>1</v>
      </c>
      <c r="H345">
        <v>155</v>
      </c>
      <c r="I345">
        <v>116</v>
      </c>
      <c r="J345" t="s">
        <v>5</v>
      </c>
      <c r="K345" t="s">
        <v>6</v>
      </c>
      <c r="L345">
        <v>146</v>
      </c>
      <c r="M345">
        <v>111</v>
      </c>
      <c r="N345">
        <v>0</v>
      </c>
      <c r="O345">
        <v>1</v>
      </c>
      <c r="P345" s="1">
        <v>45638</v>
      </c>
      <c r="Q345" t="str">
        <f>IF(Hypertension_data[[#This Row],[BP_Controlled_After_3_Months]]=1,"Controlled","Not Controlled")</f>
        <v>Not Controlled</v>
      </c>
      <c r="R345">
        <f t="shared" si="15"/>
        <v>9</v>
      </c>
      <c r="S345">
        <f t="shared" si="16"/>
        <v>5</v>
      </c>
      <c r="T345" s="11" t="str">
        <f t="shared" si="17"/>
        <v>40-49</v>
      </c>
    </row>
    <row r="346" spans="1:20" x14ac:dyDescent="0.35">
      <c r="A346" t="s">
        <v>355</v>
      </c>
      <c r="B346">
        <v>72</v>
      </c>
      <c r="C346" t="s">
        <v>12</v>
      </c>
      <c r="D346">
        <v>1</v>
      </c>
      <c r="E346">
        <v>1</v>
      </c>
      <c r="F346">
        <v>0</v>
      </c>
      <c r="G346">
        <v>0</v>
      </c>
      <c r="H346">
        <v>179</v>
      </c>
      <c r="I346">
        <v>100</v>
      </c>
      <c r="J346" t="s">
        <v>19</v>
      </c>
      <c r="K346" t="s">
        <v>3</v>
      </c>
      <c r="L346">
        <v>177</v>
      </c>
      <c r="M346">
        <v>99</v>
      </c>
      <c r="N346">
        <v>0</v>
      </c>
      <c r="O346">
        <v>5</v>
      </c>
      <c r="P346" s="1">
        <v>45435</v>
      </c>
      <c r="Q346" t="str">
        <f>IF(Hypertension_data[[#This Row],[BP_Controlled_After_3_Months]]=1,"Controlled","Not Controlled")</f>
        <v>Not Controlled</v>
      </c>
      <c r="R346">
        <f t="shared" si="15"/>
        <v>2</v>
      </c>
      <c r="S346">
        <f t="shared" si="16"/>
        <v>1</v>
      </c>
      <c r="T346" s="11" t="str">
        <f t="shared" si="17"/>
        <v>70+</v>
      </c>
    </row>
    <row r="347" spans="1:20" x14ac:dyDescent="0.35">
      <c r="A347" t="s">
        <v>356</v>
      </c>
      <c r="B347">
        <v>55</v>
      </c>
      <c r="C347" t="s">
        <v>1</v>
      </c>
      <c r="D347">
        <v>1</v>
      </c>
      <c r="E347">
        <v>1</v>
      </c>
      <c r="F347">
        <v>0</v>
      </c>
      <c r="G347">
        <v>0</v>
      </c>
      <c r="H347">
        <v>174</v>
      </c>
      <c r="I347">
        <v>91</v>
      </c>
      <c r="J347" t="s">
        <v>5</v>
      </c>
      <c r="K347" t="s">
        <v>6</v>
      </c>
      <c r="L347">
        <v>156</v>
      </c>
      <c r="M347">
        <v>81</v>
      </c>
      <c r="N347">
        <v>0</v>
      </c>
      <c r="O347">
        <v>4</v>
      </c>
      <c r="P347" s="1">
        <v>45353</v>
      </c>
      <c r="Q347" t="str">
        <f>IF(Hypertension_data[[#This Row],[BP_Controlled_After_3_Months]]=1,"Controlled","Not Controlled")</f>
        <v>Not Controlled</v>
      </c>
      <c r="R347">
        <f t="shared" si="15"/>
        <v>18</v>
      </c>
      <c r="S347">
        <f t="shared" si="16"/>
        <v>10</v>
      </c>
      <c r="T347" s="11" t="str">
        <f t="shared" si="17"/>
        <v>50-59</v>
      </c>
    </row>
    <row r="348" spans="1:20" x14ac:dyDescent="0.35">
      <c r="A348" t="s">
        <v>357</v>
      </c>
      <c r="B348">
        <v>74</v>
      </c>
      <c r="C348" t="s">
        <v>12</v>
      </c>
      <c r="D348">
        <v>0</v>
      </c>
      <c r="E348">
        <v>1</v>
      </c>
      <c r="F348">
        <v>1</v>
      </c>
      <c r="G348">
        <v>1</v>
      </c>
      <c r="H348">
        <v>164</v>
      </c>
      <c r="I348">
        <v>108</v>
      </c>
      <c r="J348" t="s">
        <v>2</v>
      </c>
      <c r="K348" t="s">
        <v>6</v>
      </c>
      <c r="L348">
        <v>147</v>
      </c>
      <c r="M348">
        <v>98</v>
      </c>
      <c r="N348">
        <v>0</v>
      </c>
      <c r="O348">
        <v>2</v>
      </c>
      <c r="P348" s="1">
        <v>45572</v>
      </c>
      <c r="Q348" t="str">
        <f>IF(Hypertension_data[[#This Row],[BP_Controlled_After_3_Months]]=1,"Controlled","Not Controlled")</f>
        <v>Not Controlled</v>
      </c>
      <c r="R348">
        <f t="shared" si="15"/>
        <v>17</v>
      </c>
      <c r="S348">
        <f t="shared" si="16"/>
        <v>10</v>
      </c>
      <c r="T348" s="11" t="str">
        <f t="shared" si="17"/>
        <v>70+</v>
      </c>
    </row>
    <row r="349" spans="1:20" x14ac:dyDescent="0.35">
      <c r="A349" t="s">
        <v>358</v>
      </c>
      <c r="B349">
        <v>46</v>
      </c>
      <c r="C349" t="s">
        <v>1</v>
      </c>
      <c r="D349">
        <v>0</v>
      </c>
      <c r="E349">
        <v>0</v>
      </c>
      <c r="F349">
        <v>0</v>
      </c>
      <c r="G349">
        <v>0</v>
      </c>
      <c r="H349">
        <v>151</v>
      </c>
      <c r="I349">
        <v>105</v>
      </c>
      <c r="J349" t="s">
        <v>19</v>
      </c>
      <c r="K349" t="s">
        <v>15</v>
      </c>
      <c r="L349">
        <v>123</v>
      </c>
      <c r="M349">
        <v>89</v>
      </c>
      <c r="N349">
        <v>1</v>
      </c>
      <c r="O349">
        <v>4</v>
      </c>
      <c r="P349" s="1">
        <v>45435</v>
      </c>
      <c r="Q349" t="str">
        <f>IF(Hypertension_data[[#This Row],[BP_Controlled_After_3_Months]]=1,"Controlled","Not Controlled")</f>
        <v>Controlled</v>
      </c>
      <c r="R349">
        <f t="shared" si="15"/>
        <v>28</v>
      </c>
      <c r="S349">
        <f t="shared" si="16"/>
        <v>16</v>
      </c>
      <c r="T349" s="11" t="str">
        <f t="shared" si="17"/>
        <v>40-49</v>
      </c>
    </row>
    <row r="350" spans="1:20" x14ac:dyDescent="0.35">
      <c r="A350" t="s">
        <v>359</v>
      </c>
      <c r="B350">
        <v>58</v>
      </c>
      <c r="C350" t="s">
        <v>1</v>
      </c>
      <c r="D350">
        <v>1</v>
      </c>
      <c r="E350">
        <v>1</v>
      </c>
      <c r="F350">
        <v>1</v>
      </c>
      <c r="G350">
        <v>0</v>
      </c>
      <c r="H350">
        <v>155</v>
      </c>
      <c r="I350">
        <v>107</v>
      </c>
      <c r="J350" t="s">
        <v>19</v>
      </c>
      <c r="K350" t="s">
        <v>6</v>
      </c>
      <c r="L350">
        <v>145</v>
      </c>
      <c r="M350">
        <v>101</v>
      </c>
      <c r="N350">
        <v>0</v>
      </c>
      <c r="O350">
        <v>4</v>
      </c>
      <c r="P350" s="1">
        <v>45296</v>
      </c>
      <c r="Q350" t="str">
        <f>IF(Hypertension_data[[#This Row],[BP_Controlled_After_3_Months]]=1,"Controlled","Not Controlled")</f>
        <v>Not Controlled</v>
      </c>
      <c r="R350">
        <f t="shared" si="15"/>
        <v>10</v>
      </c>
      <c r="S350">
        <f t="shared" si="16"/>
        <v>6</v>
      </c>
      <c r="T350" s="11" t="str">
        <f t="shared" si="17"/>
        <v>50-59</v>
      </c>
    </row>
    <row r="351" spans="1:20" x14ac:dyDescent="0.35">
      <c r="A351" t="s">
        <v>360</v>
      </c>
      <c r="B351">
        <v>41</v>
      </c>
      <c r="C351" t="s">
        <v>12</v>
      </c>
      <c r="D351">
        <v>0</v>
      </c>
      <c r="E351">
        <v>1</v>
      </c>
      <c r="F351">
        <v>0</v>
      </c>
      <c r="G351">
        <v>0</v>
      </c>
      <c r="H351">
        <v>159</v>
      </c>
      <c r="I351">
        <v>98</v>
      </c>
      <c r="J351" t="s">
        <v>5</v>
      </c>
      <c r="K351" t="s">
        <v>3</v>
      </c>
      <c r="L351">
        <v>158</v>
      </c>
      <c r="M351">
        <v>98</v>
      </c>
      <c r="N351">
        <v>0</v>
      </c>
      <c r="O351">
        <v>6</v>
      </c>
      <c r="P351" s="1">
        <v>45375</v>
      </c>
      <c r="Q351" t="str">
        <f>IF(Hypertension_data[[#This Row],[BP_Controlled_After_3_Months]]=1,"Controlled","Not Controlled")</f>
        <v>Not Controlled</v>
      </c>
      <c r="R351">
        <f t="shared" si="15"/>
        <v>1</v>
      </c>
      <c r="S351">
        <f t="shared" si="16"/>
        <v>0</v>
      </c>
      <c r="T351" s="11" t="str">
        <f t="shared" si="17"/>
        <v>40-49</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9341-6DC7-46E6-8506-213AFEC65169}">
  <sheetPr>
    <tabColor rgb="FF00B050"/>
  </sheetPr>
  <dimension ref="A1"/>
  <sheetViews>
    <sheetView showGridLines="0" showRowColHeaders="0" tabSelected="1" topLeftCell="B1" zoomScale="75" zoomScaleNormal="75" workbookViewId="0">
      <selection activeCell="AD25" sqref="AD25"/>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FC943E-E99B-4F98-8FB9-F8012A7D0E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Hypertension_data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Ijeoma Okeke</dc:creator>
  <cp:lastModifiedBy>Ijeoma Okeke</cp:lastModifiedBy>
  <dcterms:created xsi:type="dcterms:W3CDTF">2026-05-06T16:53:50Z</dcterms:created>
  <dcterms:modified xsi:type="dcterms:W3CDTF">2026-07-28T10:55:21Z</dcterms:modified>
</cp:coreProperties>
</file>